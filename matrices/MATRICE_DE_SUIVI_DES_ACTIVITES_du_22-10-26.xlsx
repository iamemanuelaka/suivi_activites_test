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23232" windowHeight="12336" tabRatio="600" firstSheet="0" activeTab="0" autoFilterDateGrouping="1"/>
  </bookViews>
  <sheets>
    <sheet name="MATRICE DE SUIV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\ &quot;CFA&quot;"/>
  </numFmts>
  <fonts count="13">
    <font>
      <name val="Calibri"/>
      <charset val="134"/>
      <color theme="1"/>
      <sz val="11"/>
      <scheme val="minor"/>
    </font>
    <font>
      <name val="Arial"/>
      <charset val="134"/>
      <color theme="1"/>
      <sz val="12"/>
    </font>
    <font>
      <name val="Arial"/>
      <charset val="134"/>
      <sz val="12"/>
    </font>
    <font>
      <name val="Calibri"/>
      <charset val="134"/>
      <color theme="1"/>
      <sz val="26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color theme="1"/>
      <sz val="48"/>
      <scheme val="minor"/>
    </font>
    <font>
      <name val="Arial"/>
      <charset val="134"/>
      <b val="1"/>
      <color theme="1"/>
      <sz val="12"/>
    </font>
    <font>
      <name val="Arial"/>
      <charset val="134"/>
      <b val="1"/>
      <sz val="12"/>
    </font>
    <font>
      <name val="Calibri"/>
      <charset val="134"/>
      <b val="1"/>
      <color theme="1"/>
      <sz val="26"/>
      <scheme val="minor"/>
    </font>
    <font>
      <name val="Calibri"/>
      <charset val="134"/>
      <color theme="1"/>
      <sz val="11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9" fillId="0" borderId="0"/>
    <xf numFmtId="9" fontId="9" fillId="0" borderId="0"/>
    <xf numFmtId="0" fontId="10" fillId="0" borderId="0"/>
  </cellStyleXfs>
  <cellXfs count="6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5" fillId="2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left" wrapText="1"/>
    </xf>
    <xf numFmtId="0" fontId="1" fillId="4" borderId="1" applyAlignment="1" pivotButton="0" quotePrefix="0" xfId="1">
      <alignment horizontal="center" vertical="center"/>
    </xf>
    <xf numFmtId="0" fontId="1" fillId="2" borderId="1" applyAlignment="1" pivotButton="0" quotePrefix="0" xfId="0">
      <alignment vertical="center"/>
    </xf>
    <xf numFmtId="0" fontId="1" fillId="2" borderId="1" pivotButton="0" quotePrefix="0" xfId="0"/>
    <xf numFmtId="0" fontId="1" fillId="2" borderId="1" applyAlignment="1" pivotButton="0" quotePrefix="0" xfId="0">
      <alignment wrapText="1"/>
    </xf>
    <xf numFmtId="9" fontId="1" fillId="4" borderId="1" applyAlignment="1" pivotButton="0" quotePrefix="0" xfId="1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vertical="center"/>
    </xf>
    <xf numFmtId="0" fontId="1" fillId="3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0" fontId="2" fillId="4" borderId="1" applyAlignment="1" pivotButton="0" quotePrefix="0" xfId="1">
      <alignment horizontal="center" vertical="center"/>
    </xf>
    <xf numFmtId="0" fontId="2" fillId="2" borderId="1" applyAlignment="1" pivotButton="0" quotePrefix="0" xfId="0">
      <alignment vertical="center"/>
    </xf>
    <xf numFmtId="0" fontId="2" fillId="2" borderId="1" pivotButton="0" quotePrefix="0" xfId="0"/>
    <xf numFmtId="0" fontId="2" fillId="2" borderId="1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3" fontId="1" fillId="2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8" fillId="6" borderId="1" pivotButton="0" quotePrefix="0" xfId="0"/>
    <xf numFmtId="0" fontId="8" fillId="4" borderId="1" applyAlignment="1" pivotButton="0" quotePrefix="0" xfId="0">
      <alignment horizontal="center" vertical="center"/>
    </xf>
    <xf numFmtId="0" fontId="3" fillId="2" borderId="0" pivotButton="0" quotePrefix="0" xfId="0"/>
    <xf numFmtId="14" fontId="1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4" fontId="1" fillId="3" borderId="1" applyAlignment="1" pivotButton="0" quotePrefix="0" xfId="0">
      <alignment horizontal="center" vertical="center"/>
    </xf>
    <xf numFmtId="14" fontId="2" fillId="2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164" fontId="12" fillId="2" borderId="1" applyAlignment="1" pivotButton="0" quotePrefix="0" xfId="0">
      <alignment horizontal="center" vertical="center" wrapText="1"/>
    </xf>
    <xf numFmtId="164" fontId="12" fillId="2" borderId="1" applyAlignment="1" pivotButton="0" quotePrefix="0" xfId="0">
      <alignment horizontal="center" vertical="center" wrapText="1"/>
    </xf>
  </cellXfs>
  <cellStyles count="3">
    <cellStyle name="Normal" xfId="0" builtinId="0"/>
    <cellStyle name="Pourcentage" xfId="1" builtinId="5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38100</colOff>
      <row>3</row>
      <rowOff>38100</rowOff>
    </from>
    <ext cx="1066800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22</col>
      <colOff>38100</colOff>
      <row>5</row>
      <rowOff>38100</rowOff>
    </from>
    <ext cx="1066800" cy="800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1"/>
  <sheetViews>
    <sheetView tabSelected="1" topLeftCell="B1" zoomScale="70" zoomScaleNormal="70" workbookViewId="0">
      <pane xSplit="4" ySplit="3" topLeftCell="R4" activePane="bottomRight" state="frozen"/>
      <selection pane="topRight" activeCell="A1" sqref="A1"/>
      <selection pane="bottomLeft" activeCell="A1" sqref="A1"/>
      <selection pane="bottomRight" activeCell="V4" sqref="V4"/>
    </sheetView>
  </sheetViews>
  <sheetFormatPr baseColWidth="10" defaultColWidth="11" defaultRowHeight="14.4"/>
  <cols>
    <col width="14.33203125" customWidth="1" style="6" min="2" max="2"/>
    <col width="20.88671875" customWidth="1" style="7" min="3" max="3"/>
    <col width="20.21875" customWidth="1" style="6" min="4" max="4"/>
    <col width="42.21875" customWidth="1" style="8" min="5" max="5"/>
    <col width="21.44140625" customWidth="1" style="9" min="6" max="8"/>
    <col width="21.77734375" customWidth="1" style="8" min="9" max="9"/>
    <col width="22.33203125" customWidth="1" min="10" max="10"/>
    <col width="27.109375" customWidth="1" style="8" min="11" max="16"/>
    <col width="20.6640625" customWidth="1" style="10" min="17" max="17"/>
    <col width="26.77734375" customWidth="1" style="6" min="18" max="18"/>
    <col width="22.6640625" customWidth="1" style="9" min="19" max="20"/>
    <col width="14.77734375" customWidth="1" min="21" max="21"/>
    <col width="13.88671875" customWidth="1" min="22" max="22"/>
    <col width="34" customWidth="1" min="23" max="23"/>
    <col width="21.44140625" customWidth="1" style="11" min="24" max="24"/>
    <col width="11" customWidth="1" style="11" min="25" max="38"/>
  </cols>
  <sheetData>
    <row r="1">
      <c r="N1" s="12" t="n"/>
      <c r="O1" s="12" t="n"/>
      <c r="P1" s="12" t="n"/>
      <c r="Q1" s="12" t="n"/>
    </row>
    <row r="2" ht="61.2" customHeight="1">
      <c r="B2" s="13" t="n"/>
      <c r="C2" s="14" t="n"/>
      <c r="D2" s="13" t="n"/>
      <c r="E2" s="12" t="n"/>
      <c r="F2" s="15" t="n"/>
      <c r="G2" s="15" t="n"/>
      <c r="H2" s="15" t="n"/>
      <c r="I2" s="16" t="n"/>
      <c r="J2" s="17" t="n"/>
      <c r="K2" s="16" t="n"/>
      <c r="L2" s="16" t="n"/>
      <c r="M2" s="16" t="n"/>
      <c r="N2" s="12" t="n"/>
      <c r="O2" s="12" t="n"/>
      <c r="P2" s="12" t="n"/>
      <c r="Q2" s="12" t="n"/>
      <c r="R2" s="13" t="n"/>
      <c r="S2" s="15" t="n"/>
      <c r="T2" s="15" t="n"/>
      <c r="U2" s="11" t="n"/>
      <c r="V2" s="11" t="n"/>
      <c r="W2" s="11" t="n"/>
    </row>
    <row r="3" ht="62.4" customFormat="1" customHeight="1" s="1">
      <c r="B3" s="18" t="n"/>
      <c r="C3" s="18" t="inlineStr">
        <is>
          <t>REGIONS</t>
        </is>
      </c>
      <c r="D3" s="18" t="inlineStr">
        <is>
          <t>DEPARTEMENT</t>
        </is>
      </c>
      <c r="E3" s="18" t="inlineStr">
        <is>
          <t>ENTREPRISE</t>
        </is>
      </c>
      <c r="F3" s="18" t="inlineStr">
        <is>
          <t>MONTANT</t>
        </is>
      </c>
      <c r="G3" s="18" t="inlineStr">
        <is>
          <t>MONTANT DECAISSE</t>
        </is>
      </c>
      <c r="H3" s="18" t="inlineStr">
        <is>
          <t>TAUX D'EXECUTION FINANCIERE</t>
        </is>
      </c>
      <c r="I3" s="18" t="inlineStr">
        <is>
          <t>NATURE DU MARCHE</t>
        </is>
      </c>
      <c r="J3" s="18" t="inlineStr">
        <is>
          <t>LOCALITES</t>
        </is>
      </c>
      <c r="K3" s="18" t="inlineStr">
        <is>
          <t>DEBUT DES TRAVAUX</t>
        </is>
      </c>
      <c r="L3" s="61" t="inlineStr">
        <is>
          <t>DELAI (en mois)</t>
        </is>
      </c>
      <c r="M3" s="18" t="inlineStr">
        <is>
          <t>FIN DES TRAVAUX</t>
        </is>
      </c>
      <c r="N3" s="18" t="inlineStr">
        <is>
          <t>DATE DE REMISE DE SITE</t>
        </is>
      </c>
      <c r="O3" s="18" t="n"/>
      <c r="P3" s="61" t="inlineStr">
        <is>
          <t>RESULTATS</t>
        </is>
      </c>
      <c r="Q3" s="19" t="inlineStr">
        <is>
          <t>TAUX D'EXECUTION</t>
        </is>
      </c>
      <c r="R3" s="18" t="inlineStr">
        <is>
          <t>OBSERVATIONS TECHNIQUES</t>
        </is>
      </c>
      <c r="S3" s="18" t="inlineStr">
        <is>
          <t>OBSERVATIONS ENVIRONNEMENTALES ET SOCIALES (PGES)</t>
        </is>
      </c>
      <c r="T3" s="18" t="inlineStr">
        <is>
          <t>ONG MOBILISEES</t>
        </is>
      </c>
      <c r="U3" s="18" t="inlineStr">
        <is>
          <t>DATE DE RECEPTION PROVISOIRE</t>
        </is>
      </c>
      <c r="V3" s="18" t="inlineStr">
        <is>
          <t>DATE DE RECEPTION DEFINITIVE</t>
        </is>
      </c>
      <c r="W3" s="18" t="inlineStr">
        <is>
          <t xml:space="preserve">Photo  preuve </t>
        </is>
      </c>
      <c r="X3" s="61" t="inlineStr">
        <is>
          <t xml:space="preserve">NOMS DU REPONDANT ET STRUCTURE </t>
        </is>
      </c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0" t="n"/>
    </row>
    <row r="4" ht="90.59999999999999" customFormat="1" customHeight="1" s="2">
      <c r="B4" s="21" t="n">
        <v>1</v>
      </c>
      <c r="C4" s="56" t="inlineStr">
        <is>
          <t>BAFING</t>
        </is>
      </c>
      <c r="D4" s="22" t="inlineStr">
        <is>
          <t>KORO</t>
        </is>
      </c>
      <c r="E4" s="22" t="inlineStr">
        <is>
          <t>NATHA SARL</t>
        </is>
      </c>
      <c r="F4" s="63" t="n">
        <v>118356245</v>
      </c>
      <c r="G4" s="63" t="n">
        <v>30000000</v>
      </c>
      <c r="H4" s="21" t="n">
        <v>20</v>
      </c>
      <c r="I4" s="22" t="inlineStr">
        <is>
          <t>Blocs sanitaires</t>
        </is>
      </c>
      <c r="J4" s="24" t="inlineStr">
        <is>
          <t xml:space="preserve"> MOAMBISSO
ZOUMASSADOUGOU
 KONINGOUELO
OUROSSANISSO
 MASSALA-BARALA</t>
        </is>
      </c>
      <c r="K4" s="52" t="n">
        <v>46251</v>
      </c>
      <c r="L4" s="22" t="n">
        <v>4</v>
      </c>
      <c r="M4" s="52">
        <f>EDATE(K4,L4)</f>
        <v/>
      </c>
      <c r="N4" s="52" t="n">
        <v>46305</v>
      </c>
      <c r="O4" s="52" t="n"/>
      <c r="P4" s="22" t="n">
        <v>100</v>
      </c>
      <c r="Q4" s="25" t="n">
        <v>0</v>
      </c>
      <c r="R4" s="26" t="inlineStr">
        <is>
          <t>Non démarré</t>
        </is>
      </c>
      <c r="S4" s="21" t="inlineStr">
        <is>
          <t>Non transmis</t>
        </is>
      </c>
      <c r="T4" s="21" t="inlineStr">
        <is>
          <t>AGIR</t>
        </is>
      </c>
      <c r="U4" s="27" t="n"/>
      <c r="V4" s="27" t="n"/>
      <c r="W4" s="27" t="n"/>
      <c r="X4" s="21" t="inlineStr">
        <is>
          <t>Emmanuel aka - PCR</t>
        </is>
      </c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</row>
    <row r="5" ht="105" customFormat="1" customHeight="1" s="2">
      <c r="B5" s="21" t="n">
        <v>2</v>
      </c>
      <c r="C5" s="55" t="n"/>
      <c r="D5" s="22" t="inlineStr">
        <is>
          <t>TOUBA / OUANINOU</t>
        </is>
      </c>
      <c r="E5" s="22" t="inlineStr">
        <is>
          <t>SIMAGE</t>
        </is>
      </c>
      <c r="F5" s="63" t="inlineStr">
        <is>
          <t xml:space="preserve">  185 115 390 F CFA</t>
        </is>
      </c>
      <c r="G5" s="63" t="n"/>
      <c r="H5" s="21" t="n"/>
      <c r="I5" s="22" t="inlineStr">
        <is>
          <t>Blocs sanitaires</t>
        </is>
      </c>
      <c r="J5" s="28" t="inlineStr">
        <is>
          <t>SINGOSSO
GUENIMANZO
FENAN 2
GANHOUE
OUALOU
SABOUDOUGOU
TIAHOUE</t>
        </is>
      </c>
      <c r="K5" s="52" t="n">
        <v>46251</v>
      </c>
      <c r="L5" s="22" t="n">
        <v>4</v>
      </c>
      <c r="M5" s="52">
        <f>EDATE(K5,L5)</f>
        <v/>
      </c>
      <c r="N5" s="22" t="inlineStr">
        <is>
          <t>08 et 09/09/2026</t>
        </is>
      </c>
      <c r="O5" s="22" t="n"/>
      <c r="P5" s="22" t="n"/>
      <c r="Q5" s="25" t="n">
        <v>0</v>
      </c>
      <c r="R5" s="26" t="inlineStr">
        <is>
          <t>Demarrage autorisé</t>
        </is>
      </c>
      <c r="S5" s="21" t="inlineStr">
        <is>
          <t>Validé</t>
        </is>
      </c>
      <c r="T5" s="21" t="inlineStr">
        <is>
          <t>ONG EPC</t>
        </is>
      </c>
      <c r="U5" s="27" t="n"/>
      <c r="V5" s="27" t="n"/>
      <c r="W5" s="27" t="n"/>
      <c r="X5" s="28" t="n"/>
    </row>
    <row r="6" ht="75" customFormat="1" customHeight="1" s="2">
      <c r="B6" s="21" t="n">
        <v>3</v>
      </c>
      <c r="C6" s="53" t="inlineStr">
        <is>
          <t>BAGOUE</t>
        </is>
      </c>
      <c r="D6" s="22" t="inlineStr">
        <is>
          <t>BOUNDIALI</t>
        </is>
      </c>
      <c r="E6" s="21" t="inlineStr">
        <is>
          <t>SELECT IVOIREMULTISERVICES SARL</t>
        </is>
      </c>
      <c r="F6" s="63" t="inlineStr">
        <is>
          <t xml:space="preserve">  177 035 524 F CFA</t>
        </is>
      </c>
      <c r="G6" s="63" t="n"/>
      <c r="H6" s="21" t="n">
        <v>10</v>
      </c>
      <c r="I6" s="22" t="inlineStr">
        <is>
          <t>Blocs sanitaires</t>
        </is>
      </c>
      <c r="J6" s="28" t="inlineStr">
        <is>
          <t>BAYA
NOUKPARADOUGOU 
PONONDOUGOU
LANDIOUGOU</t>
        </is>
      </c>
      <c r="K6" s="52" t="n">
        <v>46258</v>
      </c>
      <c r="L6" s="22" t="n">
        <v>4</v>
      </c>
      <c r="M6" s="52">
        <f>EDATE(K6,L6)</f>
        <v/>
      </c>
      <c r="N6" s="52" t="n">
        <v>46315</v>
      </c>
      <c r="O6" s="52" t="n"/>
      <c r="P6" s="22" t="n"/>
      <c r="Q6" s="25" t="n">
        <v>0</v>
      </c>
      <c r="R6" s="26" t="inlineStr">
        <is>
          <t>Non démarré</t>
        </is>
      </c>
      <c r="S6" s="21" t="inlineStr">
        <is>
          <t>Non transmis</t>
        </is>
      </c>
      <c r="T6" s="21" t="inlineStr">
        <is>
          <t>AGIR pour ODD</t>
        </is>
      </c>
      <c r="U6" s="27" t="n"/>
      <c r="V6" s="27" t="n"/>
      <c r="W6" s="27" t="n"/>
      <c r="X6" s="21" t="inlineStr">
        <is>
          <t>Ev - PCR</t>
        </is>
      </c>
    </row>
    <row r="7" ht="105" customFormat="1" customHeight="1" s="2">
      <c r="B7" s="21" t="n">
        <v>4</v>
      </c>
      <c r="C7" s="55" t="n"/>
      <c r="D7" s="22" t="inlineStr">
        <is>
          <t>KOUTO</t>
        </is>
      </c>
      <c r="E7" s="22" t="inlineStr">
        <is>
          <t>IM-BTP POLYTECHNOLOGIES</t>
        </is>
      </c>
      <c r="F7" s="63" t="inlineStr">
        <is>
          <t xml:space="preserve">  226 830 770 F CFA</t>
        </is>
      </c>
      <c r="G7" s="63" t="n"/>
      <c r="H7" s="21" t="n"/>
      <c r="I7" s="22" t="inlineStr">
        <is>
          <t>Blocs sanitaires</t>
        </is>
      </c>
      <c r="J7" s="28" t="inlineStr">
        <is>
          <t>MAHALE 
SANAHOULE
SIANHALA
TABAKORONI
SANAHOULE
DEMBASSO 
KANTARA</t>
        </is>
      </c>
      <c r="K7" s="22" t="n"/>
      <c r="L7" s="22" t="n">
        <v>4</v>
      </c>
      <c r="M7" s="52">
        <f>EDATE(K7,L7)</f>
        <v/>
      </c>
      <c r="N7" s="22" t="n"/>
      <c r="O7" s="22" t="n"/>
      <c r="P7" s="22" t="n"/>
      <c r="Q7" s="25" t="n">
        <v>0</v>
      </c>
      <c r="R7" s="26" t="inlineStr">
        <is>
          <t>Demarrage autorisé</t>
        </is>
      </c>
      <c r="S7" s="21" t="inlineStr">
        <is>
          <t>Transmis</t>
        </is>
      </c>
      <c r="T7" s="21" t="inlineStr">
        <is>
          <t>AGIR pour ODD</t>
        </is>
      </c>
      <c r="U7" s="27" t="n"/>
      <c r="V7" s="27" t="n"/>
      <c r="W7" s="27" t="n"/>
      <c r="X7" s="28" t="n"/>
    </row>
    <row r="8" ht="60" customFormat="1" customHeight="1" s="3">
      <c r="B8" s="30" t="n">
        <v>5</v>
      </c>
      <c r="C8" s="57" t="inlineStr">
        <is>
          <t>BERE</t>
        </is>
      </c>
      <c r="D8" s="31" t="inlineStr">
        <is>
          <t>KOUNAHIRI</t>
        </is>
      </c>
      <c r="E8" s="31" t="inlineStr">
        <is>
          <t>ETABLISSEMENT SILUE NAHOUO</t>
        </is>
      </c>
      <c r="F8" s="63" t="inlineStr">
        <is>
          <t xml:space="preserve">  94 855 839 F CFA</t>
        </is>
      </c>
      <c r="G8" s="63" t="n"/>
      <c r="H8" s="30" t="n"/>
      <c r="I8" s="31" t="inlineStr">
        <is>
          <t>Blocs sanitaires</t>
        </is>
      </c>
      <c r="J8" s="32" t="inlineStr">
        <is>
          <t>LEASSO
GBEMA
BOAYAOKRO –BLIPLA</t>
        </is>
      </c>
      <c r="K8" s="59" t="n">
        <v>46258</v>
      </c>
      <c r="L8" s="31" t="n">
        <v>4</v>
      </c>
      <c r="M8" s="52">
        <f>EDATE(K8,L8)</f>
        <v/>
      </c>
      <c r="N8" s="31" t="n"/>
      <c r="O8" s="31" t="n"/>
      <c r="P8" s="31" t="n"/>
      <c r="Q8" s="25" t="n">
        <v>0</v>
      </c>
      <c r="R8" s="31" t="n"/>
      <c r="S8" s="21" t="inlineStr">
        <is>
          <t>Non transmis</t>
        </is>
      </c>
      <c r="T8" s="21" t="inlineStr">
        <is>
          <t>Non mobilisée</t>
        </is>
      </c>
      <c r="U8" s="31" t="n"/>
      <c r="V8" s="31" t="n"/>
      <c r="W8" s="31" t="n"/>
      <c r="X8" s="30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 ht="75" customFormat="1" customHeight="1" s="3">
      <c r="B9" s="30" t="n">
        <v>6</v>
      </c>
      <c r="C9" s="54" t="n"/>
      <c r="D9" s="31" t="inlineStr">
        <is>
          <t>MANKONO</t>
        </is>
      </c>
      <c r="E9" s="31" t="inlineStr">
        <is>
          <t>ARI</t>
        </is>
      </c>
      <c r="F9" s="63" t="inlineStr">
        <is>
          <t xml:space="preserve">  158 247 725 F CFA</t>
        </is>
      </c>
      <c r="G9" s="63" t="n"/>
      <c r="H9" s="30" t="n"/>
      <c r="I9" s="31" t="inlineStr">
        <is>
          <t>Blocs sanitaires</t>
        </is>
      </c>
      <c r="J9" s="33" t="inlineStr">
        <is>
          <t>DIALAKORO
DANGBASSO
LINGUEKORO
GBOROZOMBA
KOUASSIDOUGOU</t>
        </is>
      </c>
      <c r="K9" s="59" t="n">
        <v>46258</v>
      </c>
      <c r="L9" s="31" t="n">
        <v>4</v>
      </c>
      <c r="M9" s="52">
        <f>EDATE(K9,L9)</f>
        <v/>
      </c>
      <c r="N9" s="31" t="n"/>
      <c r="O9" s="31" t="n"/>
      <c r="P9" s="31" t="n"/>
      <c r="Q9" s="25" t="n">
        <v>0</v>
      </c>
      <c r="R9" s="31" t="n"/>
      <c r="S9" s="21" t="inlineStr">
        <is>
          <t>Non transmis</t>
        </is>
      </c>
      <c r="T9" s="21" t="inlineStr">
        <is>
          <t>Non mobilisée</t>
        </is>
      </c>
      <c r="U9" s="31" t="n"/>
      <c r="V9" s="31" t="n"/>
      <c r="W9" s="31" t="n"/>
      <c r="X9" s="30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 ht="75" customFormat="1" customHeight="1" s="3">
      <c r="B10" s="30" t="n">
        <v>7</v>
      </c>
      <c r="C10" s="55" t="n"/>
      <c r="D10" s="31" t="inlineStr">
        <is>
          <t>MANKONO</t>
        </is>
      </c>
      <c r="E10" s="31" t="inlineStr">
        <is>
          <t>ARI</t>
        </is>
      </c>
      <c r="F10" s="63" t="inlineStr">
        <is>
          <t xml:space="preserve">  130 784 878 F CFA</t>
        </is>
      </c>
      <c r="G10" s="63" t="n"/>
      <c r="H10" s="30" t="n"/>
      <c r="I10" s="31" t="inlineStr">
        <is>
          <t>Blocs sanitaires</t>
        </is>
      </c>
      <c r="J10" s="33" t="inlineStr">
        <is>
          <t>MISSIDOUGOU
KOUASSIDOUGOU
GBOROZOMBA
LIGBISSO
DANDOUGOU</t>
        </is>
      </c>
      <c r="K10" s="59" t="n">
        <v>46258</v>
      </c>
      <c r="L10" s="31" t="n">
        <v>4</v>
      </c>
      <c r="M10" s="52">
        <f>EDATE(K10,L10)</f>
        <v/>
      </c>
      <c r="N10" s="31" t="n"/>
      <c r="O10" s="31" t="n"/>
      <c r="P10" s="31" t="n"/>
      <c r="Q10" s="25" t="n">
        <v>0</v>
      </c>
      <c r="R10" s="34" t="n"/>
      <c r="S10" s="21" t="inlineStr">
        <is>
          <t>Npn transmis</t>
        </is>
      </c>
      <c r="T10" s="21" t="inlineStr">
        <is>
          <t>Non mobilisée</t>
        </is>
      </c>
      <c r="U10" s="35" t="n"/>
      <c r="V10" s="35" t="n"/>
      <c r="W10" s="35" t="n"/>
      <c r="X10" s="33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 ht="120" customFormat="1" customHeight="1" s="2">
      <c r="B11" s="21" t="n">
        <v>8</v>
      </c>
      <c r="C11" s="53" t="inlineStr">
        <is>
          <t>BOUNKANI</t>
        </is>
      </c>
      <c r="D11" s="22" t="inlineStr">
        <is>
          <t>BOUNA / TEHINI</t>
        </is>
      </c>
      <c r="E11" s="21" t="inlineStr">
        <is>
          <t>ALYAKA TRAVAUX SERVICES</t>
        </is>
      </c>
      <c r="F11" s="63" t="inlineStr">
        <is>
          <t xml:space="preserve">  201 879 787 F CFA</t>
        </is>
      </c>
      <c r="G11" s="63" t="n"/>
      <c r="H11" s="21" t="n"/>
      <c r="I11" s="22" t="inlineStr">
        <is>
          <t>Blocs sanitaires</t>
        </is>
      </c>
      <c r="J11" s="28" t="inlineStr">
        <is>
          <t>DIHINTEDOU
SYALEDOUO
YOUTOURDOUO
PIAYE
LANKIO
TOTOBIKERNO
LAGBO-TADJOTE
NIAMOIN</t>
        </is>
      </c>
      <c r="K11" s="52" t="n">
        <v>46261</v>
      </c>
      <c r="L11" s="22" t="n">
        <v>4</v>
      </c>
      <c r="M11" s="52">
        <f>EDATE(K11,L11)</f>
        <v/>
      </c>
      <c r="N11" s="22" t="n"/>
      <c r="O11" s="22" t="n"/>
      <c r="P11" s="22" t="n"/>
      <c r="Q11" s="25" t="n">
        <v>5</v>
      </c>
      <c r="R11" s="26" t="inlineStr">
        <is>
          <t xml:space="preserve">Demarrage effectif </t>
        </is>
      </c>
      <c r="S11" s="21" t="inlineStr">
        <is>
          <t>validé</t>
        </is>
      </c>
      <c r="T11" s="21" t="inlineStr">
        <is>
          <t>KERA-SY-IRÊ</t>
        </is>
      </c>
      <c r="U11" s="27" t="n"/>
      <c r="V11" s="27" t="n"/>
      <c r="W11" s="27" t="n"/>
      <c r="X11" s="28" t="n"/>
    </row>
    <row r="12" ht="60" customFormat="1" customHeight="1" s="2">
      <c r="B12" s="21" t="n">
        <v>9</v>
      </c>
      <c r="C12" s="55" t="n"/>
      <c r="D12" s="22" t="inlineStr">
        <is>
          <t>NASSIAN</t>
        </is>
      </c>
      <c r="E12" s="22" t="inlineStr">
        <is>
          <t>EBS</t>
        </is>
      </c>
      <c r="F12" s="63" t="inlineStr">
        <is>
          <t xml:space="preserve">  91 760 054 F CFA</t>
        </is>
      </c>
      <c r="G12" s="63" t="n"/>
      <c r="H12" s="21" t="n"/>
      <c r="I12" s="22" t="inlineStr">
        <is>
          <t>Blocs sanitaires</t>
        </is>
      </c>
      <c r="J12" s="28" t="inlineStr">
        <is>
          <t>BOUDOU
KIRAMISSE
GANSE
WASSIDE</t>
        </is>
      </c>
      <c r="K12" s="22" t="n"/>
      <c r="L12" s="22" t="n">
        <v>4</v>
      </c>
      <c r="M12" s="52">
        <f>EDATE(K12,L12)</f>
        <v/>
      </c>
      <c r="N12" s="22" t="n"/>
      <c r="O12" s="22" t="n"/>
      <c r="P12" s="22" t="n"/>
      <c r="Q12" s="25" t="n">
        <v>0</v>
      </c>
      <c r="R12" s="26" t="inlineStr">
        <is>
          <t xml:space="preserve">Demarrage  effectif </t>
        </is>
      </c>
      <c r="S12" s="21" t="inlineStr">
        <is>
          <t>validé</t>
        </is>
      </c>
      <c r="T12" s="21" t="inlineStr">
        <is>
          <t>ONG ETOILE DU BOUNKANI</t>
        </is>
      </c>
      <c r="U12" s="27" t="n"/>
      <c r="V12" s="27" t="n"/>
      <c r="W12" s="27" t="n"/>
      <c r="X12" s="28" t="n"/>
    </row>
    <row r="13" ht="61.95" customFormat="1" customHeight="1" s="4">
      <c r="B13" s="36" t="n">
        <v>10</v>
      </c>
      <c r="C13" s="58" t="inlineStr">
        <is>
          <t>FOLON</t>
        </is>
      </c>
      <c r="D13" s="37" t="inlineStr">
        <is>
          <t>KANIASSO</t>
        </is>
      </c>
      <c r="E13" s="37" t="inlineStr">
        <is>
          <t>JRM &amp; ASSOCIES</t>
        </is>
      </c>
      <c r="F13" s="63" t="inlineStr">
        <is>
          <t xml:space="preserve"> 86 106 283 F CFA</t>
        </is>
      </c>
      <c r="G13" s="63" t="n"/>
      <c r="H13" s="36" t="n"/>
      <c r="I13" s="37" t="inlineStr">
        <is>
          <t>Blocs sanitaires</t>
        </is>
      </c>
      <c r="J13" s="38" t="inlineStr">
        <is>
          <t>KIMBIRILA NORD 
NAGUINA</t>
        </is>
      </c>
      <c r="K13" s="60" t="n">
        <v>46258</v>
      </c>
      <c r="L13" s="37" t="n">
        <v>4</v>
      </c>
      <c r="M13" s="52">
        <f>EDATE(K13,L13)</f>
        <v/>
      </c>
      <c r="N13" s="37" t="n"/>
      <c r="O13" s="37" t="n"/>
      <c r="P13" s="37" t="n"/>
      <c r="Q13" s="39" t="n">
        <v>0</v>
      </c>
      <c r="R13" s="40" t="inlineStr">
        <is>
          <t>erreur et Réprise de l'OS</t>
        </is>
      </c>
      <c r="S13" s="36" t="inlineStr">
        <is>
          <t>Non transmis</t>
        </is>
      </c>
      <c r="T13" s="36" t="inlineStr">
        <is>
          <t>Non mobilisée</t>
        </is>
      </c>
      <c r="U13" s="41" t="n"/>
      <c r="V13" s="41" t="n"/>
      <c r="W13" s="41" t="n"/>
      <c r="X13" s="42" t="n"/>
    </row>
    <row r="14" ht="75" customFormat="1" customHeight="1" s="4">
      <c r="B14" s="36" t="n">
        <v>11</v>
      </c>
      <c r="C14" s="55" t="n"/>
      <c r="D14" s="37" t="inlineStr">
        <is>
          <t>MINIGNAN</t>
        </is>
      </c>
      <c r="E14" s="37" t="inlineStr">
        <is>
          <t>JRM &amp; ASSOCIES</t>
        </is>
      </c>
      <c r="F14" s="63" t="inlineStr">
        <is>
          <t xml:space="preserve">  115 388 617 F CFA</t>
        </is>
      </c>
      <c r="G14" s="63" t="n"/>
      <c r="H14" s="36" t="n"/>
      <c r="I14" s="37" t="inlineStr">
        <is>
          <t>Blocs sanitaires</t>
        </is>
      </c>
      <c r="J14" s="42" t="inlineStr">
        <is>
          <t>MADIANA SOKORANI 
GOUEYA
TOKALA
OUELLI</t>
        </is>
      </c>
      <c r="K14" s="60" t="n">
        <v>46258</v>
      </c>
      <c r="L14" s="37" t="n">
        <v>4</v>
      </c>
      <c r="M14" s="52">
        <f>EDATE(K14,L14)</f>
        <v/>
      </c>
      <c r="N14" s="37" t="n"/>
      <c r="O14" s="37" t="n"/>
      <c r="P14" s="37" t="n"/>
      <c r="Q14" s="39" t="n">
        <v>0</v>
      </c>
      <c r="R14" s="40" t="inlineStr">
        <is>
          <t xml:space="preserve"> Erreur et Reprise de l'OS</t>
        </is>
      </c>
      <c r="S14" s="36" t="inlineStr">
        <is>
          <t>Non transmis</t>
        </is>
      </c>
      <c r="T14" s="36" t="inlineStr">
        <is>
          <t>Non mobilisée</t>
        </is>
      </c>
      <c r="U14" s="41" t="n"/>
      <c r="V14" s="41" t="n"/>
      <c r="W14" s="41" t="n"/>
      <c r="X14" s="42" t="n"/>
    </row>
    <row r="15" ht="75.59999999999999" customFormat="1" customHeight="1" s="2">
      <c r="B15" s="21" t="n">
        <v>12</v>
      </c>
      <c r="C15" s="53" t="inlineStr">
        <is>
          <t>GONTOUGO</t>
        </is>
      </c>
      <c r="D15" s="22" t="inlineStr">
        <is>
          <t>BONDOUKOU</t>
        </is>
      </c>
      <c r="E15" s="22" t="inlineStr">
        <is>
          <t>ZENITH SA</t>
        </is>
      </c>
      <c r="F15" s="63" t="inlineStr">
        <is>
          <t xml:space="preserve">  162 862 005 F CFA</t>
        </is>
      </c>
      <c r="G15" s="63" t="n"/>
      <c r="H15" s="21" t="n"/>
      <c r="I15" s="22" t="inlineStr">
        <is>
          <t>Blocs sanitaires</t>
        </is>
      </c>
      <c r="J15" s="28" t="inlineStr">
        <is>
          <t>AMODI
YAOKOKOROKO
WAKIALA
NAGAFOU
DIASSAMPA</t>
        </is>
      </c>
      <c r="K15" s="52" t="n">
        <v>46265</v>
      </c>
      <c r="L15" s="22" t="n">
        <v>4</v>
      </c>
      <c r="M15" s="52">
        <f>EDATE(K15,L15)</f>
        <v/>
      </c>
      <c r="N15" s="22" t="n"/>
      <c r="O15" s="22" t="n"/>
      <c r="P15" s="22" t="n"/>
      <c r="Q15" s="25" t="n">
        <v>10</v>
      </c>
      <c r="R15" s="26" t="inlineStr">
        <is>
          <t xml:space="preserve">Demarrage effectif </t>
        </is>
      </c>
      <c r="S15" s="21" t="inlineStr">
        <is>
          <t>validé</t>
        </is>
      </c>
      <c r="T15" s="21" t="inlineStr">
        <is>
          <t>CIBES</t>
        </is>
      </c>
      <c r="U15" s="27" t="n"/>
      <c r="V15" s="27" t="n"/>
      <c r="W15" s="27" t="n"/>
      <c r="X15" s="28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</row>
    <row r="16" ht="90.59999999999999" customFormat="1" customHeight="1" s="2">
      <c r="B16" s="21" t="n">
        <v>13</v>
      </c>
      <c r="C16" s="55" t="n"/>
      <c r="D16" s="22" t="inlineStr">
        <is>
          <t>KOUN-FAO</t>
        </is>
      </c>
      <c r="E16" s="22" t="inlineStr">
        <is>
          <t>HAMZA-BTP</t>
        </is>
      </c>
      <c r="F16" s="63" t="inlineStr">
        <is>
          <t xml:space="preserve">  158 502 830 F CFA</t>
        </is>
      </c>
      <c r="G16" s="63" t="n"/>
      <c r="H16" s="21" t="n"/>
      <c r="I16" s="22" t="inlineStr">
        <is>
          <t>Blocs sanitaires</t>
        </is>
      </c>
      <c r="J16" s="28" t="inlineStr">
        <is>
          <t>KOMOEKRO
N’DRAMAKRO
KOUADJAKRO
NAGBO-DONGO 
YOBOUAKRO
DOKANOU</t>
        </is>
      </c>
      <c r="K16" s="52" t="n">
        <v>46261</v>
      </c>
      <c r="L16" s="22" t="n">
        <v>4</v>
      </c>
      <c r="M16" s="52">
        <f>EDATE(K16,L16)</f>
        <v/>
      </c>
      <c r="N16" s="22" t="n"/>
      <c r="O16" s="22" t="n"/>
      <c r="P16" s="22" t="n"/>
      <c r="Q16" s="25" t="n">
        <v>0</v>
      </c>
      <c r="R16" s="26" t="inlineStr">
        <is>
          <t xml:space="preserve">Demarrage  effectif </t>
        </is>
      </c>
      <c r="S16" s="21" t="inlineStr">
        <is>
          <t>validé</t>
        </is>
      </c>
      <c r="T16" s="21" t="inlineStr">
        <is>
          <t>CIBES</t>
        </is>
      </c>
      <c r="U16" s="27" t="n"/>
      <c r="V16" s="27" t="n"/>
      <c r="W16" s="27" t="n"/>
      <c r="X16" s="28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</row>
    <row r="17" ht="75" customFormat="1" customHeight="1" s="2">
      <c r="B17" s="21" t="n">
        <v>14</v>
      </c>
      <c r="C17" s="53" t="inlineStr">
        <is>
          <t>HAMBOL</t>
        </is>
      </c>
      <c r="D17" s="22" t="inlineStr">
        <is>
          <t>KATIOLA</t>
        </is>
      </c>
      <c r="E17" s="22" t="inlineStr">
        <is>
          <t>DEMBA GROUP</t>
        </is>
      </c>
      <c r="F17" s="63" t="inlineStr">
        <is>
          <t xml:space="preserve"> 166 780 275 F CFA</t>
        </is>
      </c>
      <c r="G17" s="63" t="n"/>
      <c r="H17" s="21" t="n"/>
      <c r="I17" s="22" t="inlineStr">
        <is>
          <t>Blocs sanitaires</t>
        </is>
      </c>
      <c r="J17" s="28" t="inlineStr">
        <is>
          <t>LOUGBONOU 1 
LOUGBONOU 2
TOURO
YODANKAHA
ATTIENKAHA</t>
        </is>
      </c>
      <c r="K17" s="52" t="n">
        <v>46251</v>
      </c>
      <c r="L17" s="22" t="n">
        <v>4</v>
      </c>
      <c r="M17" s="52">
        <f>EDATE(K17,L17)</f>
        <v/>
      </c>
      <c r="N17" s="22" t="n"/>
      <c r="O17" s="22" t="n"/>
      <c r="P17" s="22" t="n"/>
      <c r="Q17" s="25" t="n">
        <v>30</v>
      </c>
      <c r="R17" s="23" t="inlineStr">
        <is>
          <t xml:space="preserve">Demarrage effectif </t>
        </is>
      </c>
      <c r="S17" s="36" t="inlineStr">
        <is>
          <t>validé</t>
        </is>
      </c>
      <c r="T17" s="21" t="inlineStr">
        <is>
          <t>ONG VOIX DE FEMME</t>
        </is>
      </c>
      <c r="U17" s="27" t="n"/>
      <c r="V17" s="27" t="n"/>
      <c r="W17" s="27" t="n"/>
      <c r="X17" s="28" t="n"/>
    </row>
    <row r="18" ht="60" customFormat="1" customHeight="1" s="2">
      <c r="B18" s="21" t="n">
        <v>15</v>
      </c>
      <c r="C18" s="54" t="n"/>
      <c r="D18" s="22" t="inlineStr">
        <is>
          <t>NIAKARA</t>
        </is>
      </c>
      <c r="E18" s="22" t="inlineStr">
        <is>
          <t>DEMBA GROUP</t>
        </is>
      </c>
      <c r="F18" s="63" t="inlineStr">
        <is>
          <t xml:space="preserve">
Lot 2 : 101 033 723
</t>
        </is>
      </c>
      <c r="G18" s="63" t="n"/>
      <c r="H18" s="21" t="n"/>
      <c r="I18" s="22" t="inlineStr">
        <is>
          <t>Blocs sanitaires</t>
        </is>
      </c>
      <c r="J18" s="43" t="inlineStr">
        <is>
          <t xml:space="preserve">
NIEDIEKAHA
SEPIKAHA
SELILEKAHA </t>
        </is>
      </c>
      <c r="K18" s="52" t="n">
        <v>46251</v>
      </c>
      <c r="L18" s="22" t="n">
        <v>4</v>
      </c>
      <c r="M18" s="52">
        <f>EDATE(K18,L18)</f>
        <v/>
      </c>
      <c r="N18" s="22" t="n"/>
      <c r="O18" s="22" t="n"/>
      <c r="P18" s="22" t="n"/>
      <c r="Q18" s="25" t="n">
        <v>40</v>
      </c>
      <c r="R18" s="23" t="inlineStr">
        <is>
          <t xml:space="preserve">Demarrage effectif </t>
        </is>
      </c>
      <c r="S18" s="21" t="inlineStr">
        <is>
          <t xml:space="preserve"> validé</t>
        </is>
      </c>
      <c r="T18" s="21" t="inlineStr">
        <is>
          <t>ONG VOIX DE FEMME</t>
        </is>
      </c>
      <c r="U18" s="27" t="n"/>
      <c r="V18" s="27" t="n"/>
      <c r="W18" s="27" t="n"/>
      <c r="X18" s="28" t="n"/>
    </row>
    <row r="19" ht="60" customFormat="1" customHeight="1" s="2">
      <c r="B19" s="21" t="n">
        <v>16</v>
      </c>
      <c r="C19" s="55" t="n"/>
      <c r="D19" s="22" t="inlineStr">
        <is>
          <t>DABAKALA</t>
        </is>
      </c>
      <c r="E19" s="22" t="inlineStr">
        <is>
          <t xml:space="preserve">GMS </t>
        </is>
      </c>
      <c r="F19" s="63" t="n">
        <v>145938840</v>
      </c>
      <c r="G19" s="63" t="n"/>
      <c r="H19" s="44" t="n"/>
      <c r="I19" s="22" t="inlineStr">
        <is>
          <t>Blocs sanitaires</t>
        </is>
      </c>
      <c r="J19" s="43" t="inlineStr">
        <is>
          <t>KPANA KALO 
NAHOLO
SOKALA SOBARA 
LAHOGORA</t>
        </is>
      </c>
      <c r="K19" s="52" t="n">
        <v>46251</v>
      </c>
      <c r="L19" s="22" t="n">
        <v>4</v>
      </c>
      <c r="M19" s="52">
        <f>EDATE(K19,L19)</f>
        <v/>
      </c>
      <c r="N19" s="22" t="n"/>
      <c r="O19" s="22" t="n"/>
      <c r="P19" s="22" t="n"/>
      <c r="Q19" s="25" t="n">
        <v>50</v>
      </c>
      <c r="R19" s="26" t="inlineStr">
        <is>
          <t>Démarrage effectif</t>
        </is>
      </c>
      <c r="S19" s="21" t="inlineStr">
        <is>
          <t>Transmis en cours de validation</t>
        </is>
      </c>
      <c r="T19" s="21" t="inlineStr">
        <is>
          <t xml:space="preserve"> mobilisée</t>
        </is>
      </c>
      <c r="U19" s="27" t="n"/>
      <c r="V19" s="27" t="n"/>
      <c r="W19" s="27" t="n"/>
      <c r="X19" s="28" t="n"/>
    </row>
    <row r="20" ht="60" customFormat="1" customHeight="1" s="3">
      <c r="B20" s="30" t="n">
        <v>17</v>
      </c>
      <c r="C20" s="57" t="inlineStr">
        <is>
          <t>KABADOUGOU</t>
        </is>
      </c>
      <c r="D20" s="31" t="inlineStr">
        <is>
          <t>ODIENNE</t>
        </is>
      </c>
      <c r="E20" s="31" t="inlineStr">
        <is>
          <t>KOMENAN SERVICES ET DISTRIBUTION (KSD)</t>
        </is>
      </c>
      <c r="F20" s="63" t="n">
        <v>96214685</v>
      </c>
      <c r="G20" s="63" t="n"/>
      <c r="H20" s="45" t="n"/>
      <c r="I20" s="31" t="inlineStr">
        <is>
          <t>Blocs sanitaires</t>
        </is>
      </c>
      <c r="J20" s="33" t="inlineStr">
        <is>
          <t>FENGOLO
KAKORO
TIEBALA
KADIASSO</t>
        </is>
      </c>
      <c r="K20" s="59" t="n">
        <v>46258</v>
      </c>
      <c r="L20" s="31" t="n">
        <v>4</v>
      </c>
      <c r="M20" s="52">
        <f>EDATE(K20,L20)</f>
        <v/>
      </c>
      <c r="N20" s="31" t="n"/>
      <c r="O20" s="31" t="n"/>
      <c r="P20" s="31" t="n"/>
      <c r="Q20" s="25" t="n">
        <v>0</v>
      </c>
      <c r="R20" s="34" t="inlineStr">
        <is>
          <t>non  encore demarré</t>
        </is>
      </c>
      <c r="S20" s="30" t="inlineStr">
        <is>
          <t>Transmis en cours de validation</t>
        </is>
      </c>
      <c r="T20" s="30" t="inlineStr">
        <is>
          <t>ONG AGIR DURABLEMENT POUR LES ODD</t>
        </is>
      </c>
      <c r="U20" s="35" t="n"/>
      <c r="V20" s="35" t="n"/>
      <c r="W20" s="35" t="n"/>
      <c r="X20" s="33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 ht="90" customFormat="1" customHeight="1" s="3">
      <c r="B21" s="30" t="n">
        <v>18</v>
      </c>
      <c r="C21" s="54" t="n"/>
      <c r="D21" s="31" t="inlineStr">
        <is>
          <t>ODIENNE</t>
        </is>
      </c>
      <c r="E21" s="31" t="inlineStr">
        <is>
          <t>AZ GLOBAL SERVICES SARL</t>
        </is>
      </c>
      <c r="F21" s="63" t="n">
        <v>91562164</v>
      </c>
      <c r="G21" s="63" t="n"/>
      <c r="H21" s="45" t="n"/>
      <c r="I21" s="31" t="inlineStr">
        <is>
          <t>Blocs sanitaires</t>
        </is>
      </c>
      <c r="J21" s="33" t="inlineStr">
        <is>
          <t xml:space="preserve">SARAKORODOUGOU 
TIEKORODOUGOU
SOKORODOUGOU
TOUGOUSSO 
MASSADOUGOU </t>
        </is>
      </c>
      <c r="K21" s="59" t="n">
        <v>46258</v>
      </c>
      <c r="L21" s="31" t="n">
        <v>4</v>
      </c>
      <c r="M21" s="52">
        <f>EDATE(K21,L21)</f>
        <v/>
      </c>
      <c r="N21" s="31" t="n"/>
      <c r="O21" s="31" t="n"/>
      <c r="P21" s="31" t="n"/>
      <c r="Q21" s="25" t="n">
        <v>0</v>
      </c>
      <c r="R21" s="34" t="inlineStr">
        <is>
          <t>Démarré autorisé</t>
        </is>
      </c>
      <c r="S21" s="30" t="inlineStr">
        <is>
          <t>Validation en cours</t>
        </is>
      </c>
      <c r="T21" s="30" t="inlineStr">
        <is>
          <t>ONG AGIR DURABLEMENT POUR LES ODD</t>
        </is>
      </c>
      <c r="U21" s="35" t="n"/>
      <c r="V21" s="35" t="n"/>
      <c r="W21" s="35" t="n"/>
      <c r="X21" s="33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 ht="75" customFormat="1" customHeight="1" s="2">
      <c r="B22" s="21" t="n">
        <v>19</v>
      </c>
      <c r="C22" s="55" t="n"/>
      <c r="D22" s="22" t="inlineStr">
        <is>
          <t>MADINANI</t>
        </is>
      </c>
      <c r="E22" s="22" t="inlineStr">
        <is>
          <t>YATANA GROUP</t>
        </is>
      </c>
      <c r="F22" s="63" t="n">
        <v>108295464</v>
      </c>
      <c r="G22" s="63" t="n"/>
      <c r="H22" s="44" t="n"/>
      <c r="I22" s="22" t="inlineStr">
        <is>
          <t>Blocs sanitaires</t>
        </is>
      </c>
      <c r="J22" s="28" t="inlineStr">
        <is>
          <t xml:space="preserve">SARALA
SOKORODOUGOU
MASSADOUGOU
TINDIKORO-SOKOURA </t>
        </is>
      </c>
      <c r="K22" s="52" t="n">
        <v>46258</v>
      </c>
      <c r="L22" s="22" t="n">
        <v>4</v>
      </c>
      <c r="M22" s="52">
        <f>EDATE(K22,L22)</f>
        <v/>
      </c>
      <c r="N22" s="22" t="n"/>
      <c r="O22" s="22" t="n"/>
      <c r="P22" s="22" t="n"/>
      <c r="Q22" s="25" t="n">
        <v>0</v>
      </c>
      <c r="R22" s="26" t="inlineStr">
        <is>
          <t>Demarré effectif</t>
        </is>
      </c>
      <c r="S22" s="21" t="inlineStr">
        <is>
          <t>Transmis en cours de validation</t>
        </is>
      </c>
      <c r="T22" s="21" t="inlineStr">
        <is>
          <t>Centre de santé PIETRO  BONILI</t>
        </is>
      </c>
      <c r="U22" s="27" t="n"/>
      <c r="V22" s="27" t="n"/>
      <c r="W22" s="27" t="n"/>
      <c r="X22" s="28" t="n"/>
    </row>
    <row r="23" ht="75" customFormat="1" customHeight="1" s="2">
      <c r="B23" s="21" t="n">
        <v>20</v>
      </c>
      <c r="C23" s="53" t="inlineStr">
        <is>
          <t>PORO</t>
        </is>
      </c>
      <c r="D23" s="22" t="inlineStr">
        <is>
          <t>KORHOGO</t>
        </is>
      </c>
      <c r="E23" s="22" t="inlineStr">
        <is>
          <t>EGTP</t>
        </is>
      </c>
      <c r="F23" s="63" t="n">
        <v>140410915</v>
      </c>
      <c r="G23" s="63" t="n"/>
      <c r="H23" s="44" t="n"/>
      <c r="I23" s="22" t="inlineStr">
        <is>
          <t>Blocs sanitaires</t>
        </is>
      </c>
      <c r="J23" s="28" t="inlineStr">
        <is>
          <t>KARAFINE
NOGOTAHA
TAPRE
KADIOHA
FARAKORO</t>
        </is>
      </c>
      <c r="K23" s="52" t="n">
        <v>46261</v>
      </c>
      <c r="L23" s="22" t="n">
        <v>4</v>
      </c>
      <c r="M23" s="52">
        <f>EDATE(K23,L23)</f>
        <v/>
      </c>
      <c r="N23" s="22" t="n"/>
      <c r="O23" s="22" t="n"/>
      <c r="P23" s="22" t="n"/>
      <c r="Q23" s="25" t="n">
        <v>20</v>
      </c>
      <c r="R23" s="26" t="inlineStr">
        <is>
          <t>Démarré effectif</t>
        </is>
      </c>
      <c r="S23" s="21" t="inlineStr">
        <is>
          <t>Validé</t>
        </is>
      </c>
      <c r="T23" s="21" t="inlineStr">
        <is>
          <t xml:space="preserve">Solidarité </t>
        </is>
      </c>
      <c r="U23" s="27" t="n"/>
      <c r="V23" s="27" t="n"/>
      <c r="W23" s="27" t="n"/>
      <c r="X23" s="28" t="n"/>
    </row>
    <row r="24" ht="120" customFormat="1" customHeight="1" s="2">
      <c r="B24" s="21" t="n">
        <v>21</v>
      </c>
      <c r="C24" s="55" t="n"/>
      <c r="D24" s="22" t="inlineStr">
        <is>
          <t>DIKODOUGOU</t>
        </is>
      </c>
      <c r="E24" s="22" t="inlineStr">
        <is>
          <t>ETD Sarlu</t>
        </is>
      </c>
      <c r="F24" s="63" t="n">
        <v>246235000</v>
      </c>
      <c r="G24" s="63" t="n"/>
      <c r="H24" s="44" t="n"/>
      <c r="I24" s="22" t="inlineStr">
        <is>
          <t>Blocs sanitaires</t>
        </is>
      </c>
      <c r="J24" s="28" t="inlineStr">
        <is>
          <t>PIGNON
LITIO
KARAFIGUE
KOKAHA
DAGBAPLE
TAHOUARA
SOHOUO
M'BALLA</t>
        </is>
      </c>
      <c r="K24" s="52" t="n">
        <v>46261</v>
      </c>
      <c r="L24" s="22" t="n">
        <v>4</v>
      </c>
      <c r="M24" s="52">
        <f>EDATE(K24,L24)</f>
        <v/>
      </c>
      <c r="N24" s="22" t="n"/>
      <c r="O24" s="22" t="n"/>
      <c r="P24" s="22" t="n"/>
      <c r="Q24" s="25" t="n">
        <v>15</v>
      </c>
      <c r="R24" s="26" t="inlineStr">
        <is>
          <t>Démarrage effectif</t>
        </is>
      </c>
      <c r="S24" s="21" t="inlineStr">
        <is>
          <t xml:space="preserve">Validé </t>
        </is>
      </c>
      <c r="T24" s="21" t="inlineStr">
        <is>
          <t>Non mobilisée</t>
        </is>
      </c>
      <c r="U24" s="27" t="n"/>
      <c r="V24" s="27" t="n"/>
      <c r="W24" s="27" t="n"/>
      <c r="X24" s="28" t="n"/>
    </row>
    <row r="25" ht="75" customFormat="1" customHeight="1" s="2">
      <c r="B25" s="21" t="n">
        <v>22</v>
      </c>
      <c r="C25" s="53" t="inlineStr">
        <is>
          <t>TCHOLOGO</t>
        </is>
      </c>
      <c r="D25" s="22" t="inlineStr">
        <is>
          <t>KONG</t>
        </is>
      </c>
      <c r="E25" s="22" t="inlineStr">
        <is>
          <t>LIKA</t>
        </is>
      </c>
      <c r="F25" s="63" t="n">
        <v>162382000</v>
      </c>
      <c r="G25" s="63" t="n"/>
      <c r="H25" s="44" t="n"/>
      <c r="I25" s="22" t="inlineStr">
        <is>
          <t>Blocs sanitaires</t>
        </is>
      </c>
      <c r="J25" s="28" t="inlineStr">
        <is>
          <t>KOROWITA
SOKOLO
KAWERE
KONIERE
BOUGOU</t>
        </is>
      </c>
      <c r="K25" s="52" t="n">
        <v>46261</v>
      </c>
      <c r="L25" s="22" t="n">
        <v>4</v>
      </c>
      <c r="M25" s="52">
        <f>EDATE(K25,L25)</f>
        <v/>
      </c>
      <c r="N25" s="22" t="n"/>
      <c r="O25" s="22" t="n"/>
      <c r="P25" s="22" t="n"/>
      <c r="Q25" s="25" t="n">
        <v>0</v>
      </c>
      <c r="R25" s="26" t="inlineStr">
        <is>
          <t>Démarrage effectif</t>
        </is>
      </c>
      <c r="S25" s="21" t="inlineStr">
        <is>
          <t>Validé</t>
        </is>
      </c>
      <c r="T25" s="21" t="inlineStr">
        <is>
          <t>ONG VICTOIRE PLUS</t>
        </is>
      </c>
      <c r="U25" s="27" t="n"/>
      <c r="V25" s="27" t="n"/>
      <c r="W25" s="27" t="n"/>
      <c r="X25" s="28" t="n"/>
    </row>
    <row r="26" ht="60" customFormat="1" customHeight="1" s="2">
      <c r="B26" s="21" t="n">
        <v>23</v>
      </c>
      <c r="C26" s="55" t="n"/>
      <c r="D26" s="22" t="inlineStr">
        <is>
          <t>FERKE / OUANGOLO</t>
        </is>
      </c>
      <c r="E26" s="22" t="inlineStr">
        <is>
          <t>SABARI KAGNI</t>
        </is>
      </c>
      <c r="F26" s="63" t="n">
        <v>159222422</v>
      </c>
      <c r="G26" s="63" t="n"/>
      <c r="H26" s="44" t="n"/>
      <c r="I26" s="22" t="inlineStr">
        <is>
          <t>Blocs sanitaires</t>
        </is>
      </c>
      <c r="J26" s="28" t="inlineStr">
        <is>
          <t>NAFOUNGOLO
GBINZO
DJELISSO
SEPENEDJOKAHA</t>
        </is>
      </c>
      <c r="K26" s="52" t="n">
        <v>46261</v>
      </c>
      <c r="L26" s="22" t="n">
        <v>4</v>
      </c>
      <c r="M26" s="52">
        <f>EDATE(K26,L26)</f>
        <v/>
      </c>
      <c r="N26" s="22" t="n"/>
      <c r="O26" s="22" t="n"/>
      <c r="P26" s="22" t="n"/>
      <c r="Q26" s="25" t="n">
        <v>0</v>
      </c>
      <c r="R26" s="26" t="inlineStr">
        <is>
          <t xml:space="preserve">Demarrage  effectif </t>
        </is>
      </c>
      <c r="S26" s="21" t="inlineStr">
        <is>
          <t>validé</t>
        </is>
      </c>
      <c r="T26" s="21" t="inlineStr">
        <is>
          <t>AGIR pour ODD</t>
        </is>
      </c>
      <c r="U26" s="27" t="n"/>
      <c r="V26" s="27" t="n"/>
      <c r="W26" s="27" t="n"/>
      <c r="X26" s="28" t="n"/>
    </row>
    <row r="27" ht="60" customFormat="1" customHeight="1" s="3">
      <c r="B27" s="21" t="n">
        <v>24</v>
      </c>
      <c r="C27" s="53" t="inlineStr">
        <is>
          <t>WORODOUGOU</t>
        </is>
      </c>
      <c r="D27" s="22" t="inlineStr">
        <is>
          <t>KANI</t>
        </is>
      </c>
      <c r="E27" s="22" t="inlineStr">
        <is>
          <t>ALLTECH CI</t>
        </is>
      </c>
      <c r="F27" s="63" t="n">
        <v>193740000</v>
      </c>
      <c r="G27" s="63" t="n"/>
      <c r="H27" s="44" t="n"/>
      <c r="I27" s="22" t="inlineStr">
        <is>
          <t>Blocs sanitaires</t>
        </is>
      </c>
      <c r="J27" s="28" t="inlineStr">
        <is>
          <t>DIOMANDOUGOU
MADJI
LIPARA
KATOGBO</t>
        </is>
      </c>
      <c r="K27" s="22" t="n"/>
      <c r="L27" s="22" t="n">
        <v>4</v>
      </c>
      <c r="M27" s="52">
        <f>EDATE(K27,L27)</f>
        <v/>
      </c>
      <c r="N27" s="22" t="n"/>
      <c r="O27" s="22" t="n"/>
      <c r="P27" s="22" t="n"/>
      <c r="Q27" s="25" t="n">
        <v>0</v>
      </c>
      <c r="R27" s="26" t="inlineStr">
        <is>
          <t>Demarrage  non effectif</t>
        </is>
      </c>
      <c r="S27" s="21" t="inlineStr">
        <is>
          <t>Transmis en cours de validation</t>
        </is>
      </c>
      <c r="T27" s="21" t="inlineStr">
        <is>
          <t>Esperance vie</t>
        </is>
      </c>
      <c r="U27" s="27" t="n"/>
      <c r="V27" s="27" t="n"/>
      <c r="W27" s="27" t="n"/>
      <c r="X27" s="28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</row>
    <row r="28" ht="105" customFormat="1" customHeight="1" s="2">
      <c r="B28" s="21" t="n">
        <v>25</v>
      </c>
      <c r="C28" s="54" t="n"/>
      <c r="D28" s="22" t="inlineStr">
        <is>
          <t>SEGUELA</t>
        </is>
      </c>
      <c r="E28" s="22" t="inlineStr">
        <is>
          <t>SOCIETE GENERAL ACTIFS (SGA)</t>
        </is>
      </c>
      <c r="F28" s="63" t="n">
        <v>147335706</v>
      </c>
      <c r="G28" s="63" t="n"/>
      <c r="H28" s="44" t="n"/>
      <c r="I28" s="22" t="inlineStr">
        <is>
          <t>Blocs sanitaires</t>
        </is>
      </c>
      <c r="J28" s="28" t="inlineStr">
        <is>
          <t>GBOHOVO
MENA
BANANDJE
KENEGBE SUD 
KENEGBE NORD 
DIARABANA
MONGBARA</t>
        </is>
      </c>
      <c r="K28" s="52" t="n">
        <v>46258</v>
      </c>
      <c r="L28" s="22" t="n">
        <v>4</v>
      </c>
      <c r="M28" s="52">
        <f>EDATE(K28,L28)</f>
        <v/>
      </c>
      <c r="N28" s="22" t="n"/>
      <c r="O28" s="22" t="n"/>
      <c r="P28" s="22" t="n"/>
      <c r="Q28" s="25" t="n">
        <v>0</v>
      </c>
      <c r="R28" s="26" t="inlineStr">
        <is>
          <t xml:space="preserve">Demarrage  effectif </t>
        </is>
      </c>
      <c r="S28" s="21" t="inlineStr">
        <is>
          <t>Transmis en cours de validation</t>
        </is>
      </c>
      <c r="T28" s="21" t="inlineStr">
        <is>
          <t>Non mobilisée</t>
        </is>
      </c>
      <c r="U28" s="27" t="n"/>
      <c r="V28" s="27" t="n"/>
      <c r="W28" s="27" t="n"/>
      <c r="X28" s="28" t="n"/>
    </row>
    <row r="29" ht="60" customFormat="1" customHeight="1" s="2">
      <c r="B29" s="21" t="n">
        <v>26</v>
      </c>
      <c r="C29" s="55" t="n"/>
      <c r="D29" s="22" t="inlineStr">
        <is>
          <t>SEGUELA</t>
        </is>
      </c>
      <c r="E29" s="22" t="inlineStr">
        <is>
          <t xml:space="preserve">NOUVEAU SERVICES INTERNATIONAL COTE D’IVOIRE </t>
        </is>
      </c>
      <c r="F29" s="63" t="n">
        <v>118575500</v>
      </c>
      <c r="G29" s="63" t="n"/>
      <c r="H29" s="44" t="n"/>
      <c r="I29" s="22" t="inlineStr">
        <is>
          <t>Blocs sanitaires</t>
        </is>
      </c>
      <c r="J29" s="28" t="inlineStr">
        <is>
          <t>MARHANA
GBALO-KANDJI 
DJENIGBE 
KAVALA</t>
        </is>
      </c>
      <c r="K29" s="52" t="n">
        <v>46258</v>
      </c>
      <c r="L29" s="22" t="n">
        <v>4</v>
      </c>
      <c r="M29" s="52">
        <f>EDATE(K29,L29)</f>
        <v/>
      </c>
      <c r="N29" s="22" t="n"/>
      <c r="O29" s="22" t="n"/>
      <c r="P29" s="22" t="n"/>
      <c r="Q29" s="25" t="n">
        <v>0</v>
      </c>
      <c r="R29" s="26" t="inlineStr">
        <is>
          <t xml:space="preserve">Demarrage  effectif </t>
        </is>
      </c>
      <c r="S29" s="21" t="inlineStr">
        <is>
          <t>Transmis en cours de validation</t>
        </is>
      </c>
      <c r="T29" s="21" t="inlineStr">
        <is>
          <t>Non mobilisée</t>
        </is>
      </c>
      <c r="U29" s="27" t="n"/>
      <c r="V29" s="27" t="n"/>
      <c r="W29" s="27" t="n"/>
      <c r="X29" s="28" t="n"/>
    </row>
    <row r="30" ht="78" customFormat="1" customHeight="1" s="5">
      <c r="B30" s="46" t="n"/>
      <c r="C30" s="46" t="inlineStr">
        <is>
          <t>Taux d'exécution</t>
        </is>
      </c>
      <c r="D30" s="46" t="n"/>
      <c r="E30" s="47" t="n"/>
      <c r="F30" s="48" t="n"/>
      <c r="G30" s="48" t="n"/>
      <c r="H30" s="48" t="n"/>
      <c r="I30" s="47" t="n"/>
      <c r="J30" s="49" t="n"/>
      <c r="K30" s="47" t="n"/>
      <c r="L30" s="47" t="n"/>
      <c r="M30" s="47" t="n"/>
      <c r="N30" s="47" t="n"/>
      <c r="O30" s="47" t="n"/>
      <c r="P30" s="47" t="n"/>
      <c r="Q30" s="50">
        <f>AVERAGE(Q4:Q29)</f>
        <v/>
      </c>
      <c r="R30" s="46" t="n"/>
      <c r="S30" s="48" t="n"/>
      <c r="T30" s="48" t="n"/>
      <c r="U30" s="49" t="n"/>
      <c r="V30" s="49" t="n"/>
      <c r="W30" s="49" t="n"/>
      <c r="X30" s="49" t="n"/>
      <c r="Y30" s="51" t="n"/>
      <c r="Z30" s="51" t="n"/>
      <c r="AA30" s="51" t="n"/>
      <c r="AB30" s="51" t="n"/>
      <c r="AC30" s="51" t="n"/>
      <c r="AD30" s="51" t="n"/>
      <c r="AE30" s="51" t="n"/>
      <c r="AF30" s="51" t="n"/>
      <c r="AG30" s="51" t="n"/>
      <c r="AH30" s="51" t="n"/>
      <c r="AI30" s="51" t="n"/>
      <c r="AJ30" s="51" t="n"/>
      <c r="AK30" s="51" t="n"/>
      <c r="AL30" s="51" t="n"/>
    </row>
    <row r="31">
      <c r="B31" s="13" t="n"/>
      <c r="C31" s="14" t="n"/>
      <c r="D31" s="13" t="n"/>
      <c r="E31" s="12" t="n"/>
      <c r="F31" s="15" t="n"/>
      <c r="G31" s="15" t="n"/>
      <c r="H31" s="15" t="n"/>
      <c r="I31" s="12" t="n"/>
      <c r="J31" s="11" t="n"/>
      <c r="K31" s="12" t="n"/>
      <c r="L31" s="12" t="n"/>
      <c r="M31" s="12" t="n"/>
      <c r="N31" s="12" t="n"/>
      <c r="O31" s="12" t="n"/>
      <c r="P31" s="12" t="n"/>
      <c r="Q31" s="12" t="n"/>
      <c r="R31" s="13" t="n"/>
      <c r="S31" s="15" t="n"/>
      <c r="T31" s="15" t="n"/>
      <c r="U31" s="11" t="n"/>
      <c r="V31" s="11" t="n"/>
      <c r="W31" s="11" t="n"/>
    </row>
    <row r="32">
      <c r="B32" s="13" t="n"/>
      <c r="C32" s="14" t="n"/>
      <c r="D32" s="13" t="n"/>
      <c r="E32" s="12" t="n"/>
      <c r="F32" s="15" t="n"/>
      <c r="G32" s="15" t="n"/>
      <c r="H32" s="15" t="n"/>
      <c r="I32" s="12" t="n"/>
      <c r="J32" s="11" t="n"/>
      <c r="K32" s="12" t="n"/>
      <c r="L32" s="12" t="n"/>
      <c r="M32" s="12" t="n"/>
      <c r="N32" s="12" t="n"/>
      <c r="O32" s="12" t="n"/>
      <c r="P32" s="12" t="n"/>
      <c r="Q32" s="12" t="n"/>
      <c r="R32" s="13" t="n"/>
      <c r="S32" s="15" t="n"/>
      <c r="T32" s="15" t="n"/>
      <c r="U32" s="11" t="n"/>
      <c r="V32" s="11" t="n"/>
      <c r="W32" s="11" t="n"/>
    </row>
    <row r="33">
      <c r="B33" s="13" t="n"/>
      <c r="C33" s="14" t="n"/>
      <c r="D33" s="13" t="n"/>
      <c r="E33" s="12" t="n"/>
      <c r="F33" s="15" t="n"/>
      <c r="G33" s="15" t="n"/>
      <c r="H33" s="15" t="n"/>
      <c r="I33" s="12" t="n"/>
      <c r="J33" s="11" t="n"/>
      <c r="K33" s="12" t="n"/>
      <c r="L33" s="12" t="n"/>
      <c r="M33" s="12" t="n"/>
      <c r="N33" s="12" t="n"/>
      <c r="O33" s="12" t="n"/>
      <c r="P33" s="12" t="n"/>
      <c r="Q33" s="12" t="n"/>
      <c r="R33" s="13" t="n"/>
      <c r="S33" s="15" t="n"/>
      <c r="T33" s="15" t="n"/>
      <c r="U33" s="11" t="n"/>
      <c r="V33" s="11" t="n"/>
      <c r="W33" s="11" t="n"/>
    </row>
    <row r="34">
      <c r="B34" s="13" t="n"/>
      <c r="C34" s="14" t="n"/>
      <c r="D34" s="13" t="n"/>
      <c r="E34" s="12" t="n"/>
      <c r="F34" s="15" t="n"/>
      <c r="G34" s="15" t="n"/>
      <c r="H34" s="15" t="n"/>
      <c r="I34" s="12" t="n"/>
      <c r="J34" s="11" t="n"/>
      <c r="K34" s="12" t="n"/>
      <c r="L34" s="12" t="n"/>
      <c r="M34" s="12" t="n"/>
      <c r="N34" s="12" t="n"/>
      <c r="O34" s="12" t="n"/>
      <c r="P34" s="12" t="n"/>
      <c r="Q34" s="12" t="n"/>
      <c r="R34" s="13" t="n"/>
      <c r="S34" s="15" t="n"/>
      <c r="T34" s="15" t="n"/>
      <c r="U34" s="11" t="n"/>
      <c r="V34" s="11" t="n"/>
      <c r="W34" s="11" t="n"/>
    </row>
    <row r="35">
      <c r="B35" s="13" t="n"/>
      <c r="C35" s="14" t="n"/>
      <c r="D35" s="13" t="n"/>
      <c r="E35" s="12" t="n"/>
      <c r="F35" s="15" t="n"/>
      <c r="G35" s="15" t="n"/>
      <c r="H35" s="15" t="n"/>
      <c r="I35" s="12" t="n"/>
      <c r="J35" s="11" t="n"/>
      <c r="K35" s="12" t="n"/>
      <c r="L35" s="12" t="n"/>
      <c r="M35" s="12" t="n"/>
      <c r="N35" s="12" t="n"/>
      <c r="O35" s="12" t="n"/>
      <c r="P35" s="12" t="n"/>
      <c r="Q35" s="12" t="n"/>
      <c r="R35" s="13" t="n"/>
      <c r="S35" s="15" t="n"/>
      <c r="T35" s="15" t="n"/>
      <c r="U35" s="11" t="n"/>
      <c r="V35" s="11" t="n"/>
      <c r="W35" s="11" t="n"/>
    </row>
    <row r="36">
      <c r="B36" s="13" t="n"/>
      <c r="C36" s="14" t="n"/>
      <c r="D36" s="13" t="n"/>
      <c r="E36" s="12" t="n"/>
      <c r="F36" s="15" t="n"/>
      <c r="G36" s="15" t="n"/>
      <c r="H36" s="15" t="n"/>
      <c r="I36" s="12" t="n"/>
      <c r="J36" s="11" t="n"/>
      <c r="K36" s="12" t="n"/>
      <c r="L36" s="12" t="n"/>
      <c r="M36" s="12" t="n"/>
      <c r="N36" s="12" t="n"/>
      <c r="O36" s="12" t="n"/>
      <c r="P36" s="12" t="n"/>
      <c r="Q36" s="12" t="n"/>
      <c r="R36" s="13" t="n"/>
      <c r="S36" s="15" t="n"/>
      <c r="T36" s="15" t="n"/>
      <c r="U36" s="11" t="n"/>
      <c r="V36" s="11" t="n"/>
      <c r="W36" s="11" t="n"/>
    </row>
    <row r="37">
      <c r="B37" s="13" t="n"/>
      <c r="C37" s="14" t="n"/>
      <c r="D37" s="13" t="n"/>
      <c r="E37" s="12" t="n"/>
      <c r="F37" s="15" t="n"/>
      <c r="G37" s="15" t="n"/>
      <c r="H37" s="15" t="n"/>
      <c r="I37" s="12" t="n"/>
      <c r="J37" s="11" t="n"/>
      <c r="K37" s="12" t="n"/>
      <c r="L37" s="12" t="n"/>
      <c r="M37" s="12" t="n"/>
      <c r="N37" s="12" t="n"/>
      <c r="O37" s="12" t="n"/>
      <c r="P37" s="12" t="n"/>
      <c r="Q37" s="12" t="n"/>
      <c r="R37" s="13" t="n"/>
      <c r="S37" s="15" t="n"/>
      <c r="T37" s="15" t="n"/>
      <c r="U37" s="11" t="n"/>
      <c r="V37" s="11" t="n"/>
      <c r="W37" s="11" t="n"/>
    </row>
    <row r="38">
      <c r="B38" s="13" t="n"/>
      <c r="C38" s="14" t="n"/>
      <c r="D38" s="13" t="n"/>
      <c r="E38" s="12" t="n"/>
      <c r="F38" s="15" t="n"/>
      <c r="G38" s="15" t="n"/>
      <c r="H38" s="15" t="n"/>
      <c r="I38" s="12" t="n"/>
      <c r="J38" s="11" t="n"/>
      <c r="K38" s="12" t="n"/>
      <c r="L38" s="12" t="n"/>
      <c r="M38" s="12" t="n"/>
      <c r="N38" s="12" t="n"/>
      <c r="O38" s="12" t="n"/>
      <c r="P38" s="12" t="n"/>
      <c r="Q38" s="12" t="n"/>
      <c r="R38" s="13" t="n"/>
      <c r="S38" s="15" t="n"/>
      <c r="T38" s="15" t="n"/>
      <c r="U38" s="11" t="n"/>
      <c r="V38" s="11" t="n"/>
      <c r="W38" s="11" t="n"/>
    </row>
    <row r="39">
      <c r="B39" s="13" t="n"/>
      <c r="C39" s="14" t="n"/>
      <c r="D39" s="13" t="n"/>
      <c r="E39" s="12" t="n"/>
      <c r="F39" s="15" t="n"/>
      <c r="G39" s="15" t="n"/>
      <c r="H39" s="15" t="n"/>
      <c r="I39" s="12" t="n"/>
      <c r="J39" s="11" t="n"/>
      <c r="K39" s="12" t="n"/>
      <c r="L39" s="12" t="n"/>
      <c r="M39" s="12" t="n"/>
      <c r="N39" s="12" t="n"/>
      <c r="O39" s="12" t="n"/>
      <c r="P39" s="12" t="n"/>
      <c r="Q39" s="12" t="n"/>
      <c r="R39" s="13" t="n"/>
      <c r="S39" s="15" t="n"/>
      <c r="T39" s="15" t="n"/>
      <c r="U39" s="11" t="n"/>
      <c r="V39" s="11" t="n"/>
      <c r="W39" s="11" t="n"/>
    </row>
    <row r="40">
      <c r="B40" s="13" t="n"/>
      <c r="C40" s="14" t="n"/>
      <c r="D40" s="13" t="n"/>
      <c r="E40" s="12" t="n"/>
      <c r="F40" s="15" t="n"/>
      <c r="G40" s="15" t="n"/>
      <c r="H40" s="15" t="n"/>
      <c r="I40" s="12" t="n"/>
      <c r="J40" s="11" t="n"/>
      <c r="K40" s="12" t="n"/>
      <c r="L40" s="12" t="n"/>
      <c r="M40" s="12" t="n"/>
      <c r="N40" s="12" t="n"/>
      <c r="O40" s="12" t="n"/>
      <c r="P40" s="12" t="n"/>
      <c r="Q40" s="12" t="n"/>
      <c r="R40" s="13" t="n"/>
      <c r="S40" s="15" t="n"/>
      <c r="T40" s="15" t="n"/>
      <c r="U40" s="11" t="n"/>
      <c r="V40" s="11" t="n"/>
      <c r="W40" s="11" t="n"/>
    </row>
    <row r="41">
      <c r="B41" s="13" t="n"/>
      <c r="C41" s="14" t="n"/>
      <c r="D41" s="13" t="n"/>
      <c r="E41" s="12" t="n"/>
      <c r="F41" s="15" t="n"/>
      <c r="G41" s="15" t="n"/>
      <c r="H41" s="15" t="n"/>
      <c r="I41" s="12" t="n"/>
      <c r="J41" s="11" t="n"/>
      <c r="K41" s="12" t="n"/>
      <c r="L41" s="12" t="n"/>
      <c r="M41" s="12" t="n"/>
      <c r="N41" s="12" t="n"/>
      <c r="O41" s="12" t="n"/>
      <c r="P41" s="12" t="n"/>
      <c r="Q41" s="12" t="n"/>
      <c r="R41" s="13" t="n"/>
      <c r="S41" s="15" t="n"/>
      <c r="T41" s="15" t="n"/>
      <c r="U41" s="11" t="n"/>
      <c r="V41" s="11" t="n"/>
      <c r="W41" s="11" t="n"/>
    </row>
    <row r="42">
      <c r="B42" s="13" t="n"/>
      <c r="C42" s="14" t="n"/>
      <c r="D42" s="13" t="n"/>
      <c r="E42" s="12" t="n"/>
      <c r="F42" s="15" t="n"/>
      <c r="G42" s="15" t="n"/>
      <c r="H42" s="15" t="n"/>
      <c r="I42" s="12" t="n"/>
      <c r="J42" s="11" t="n"/>
      <c r="K42" s="12" t="n"/>
      <c r="L42" s="12" t="n"/>
      <c r="M42" s="12" t="n"/>
      <c r="N42" s="12" t="n"/>
      <c r="O42" s="12" t="n"/>
      <c r="P42" s="12" t="n"/>
      <c r="Q42" s="12" t="n"/>
      <c r="R42" s="13" t="n"/>
      <c r="S42" s="15" t="n"/>
      <c r="T42" s="15" t="n"/>
      <c r="U42" s="11" t="n"/>
      <c r="V42" s="11" t="n"/>
      <c r="W42" s="11" t="n"/>
    </row>
    <row r="43">
      <c r="B43" s="13" t="n"/>
      <c r="C43" s="14" t="n"/>
      <c r="D43" s="13" t="n"/>
      <c r="E43" s="12" t="n"/>
      <c r="F43" s="15" t="n"/>
      <c r="G43" s="15" t="n"/>
      <c r="H43" s="15" t="n"/>
      <c r="I43" s="12" t="n"/>
      <c r="J43" s="11" t="n"/>
      <c r="K43" s="12" t="n"/>
      <c r="L43" s="12" t="n"/>
      <c r="M43" s="12" t="n"/>
      <c r="N43" s="12" t="n"/>
      <c r="O43" s="12" t="n"/>
      <c r="P43" s="12" t="n"/>
      <c r="Q43" s="12" t="n"/>
      <c r="R43" s="13" t="n"/>
      <c r="S43" s="15" t="n"/>
      <c r="T43" s="15" t="n"/>
      <c r="U43" s="11" t="n"/>
      <c r="V43" s="11" t="n"/>
      <c r="W43" s="11" t="n"/>
    </row>
    <row r="44">
      <c r="B44" s="13" t="n"/>
      <c r="C44" s="14" t="n"/>
      <c r="D44" s="13" t="n"/>
      <c r="E44" s="12" t="n"/>
      <c r="F44" s="15" t="n"/>
      <c r="G44" s="15" t="n"/>
      <c r="H44" s="15" t="n"/>
      <c r="I44" s="12" t="n"/>
      <c r="J44" s="11" t="n"/>
      <c r="K44" s="12" t="n"/>
      <c r="L44" s="12" t="n"/>
      <c r="M44" s="12" t="n"/>
      <c r="N44" s="12" t="n"/>
      <c r="O44" s="12" t="n"/>
      <c r="P44" s="12" t="n"/>
      <c r="Q44" s="12" t="n"/>
      <c r="R44" s="13" t="n"/>
      <c r="S44" s="15" t="n"/>
      <c r="T44" s="15" t="n"/>
      <c r="U44" s="11" t="n"/>
      <c r="V44" s="11" t="n"/>
      <c r="W44" s="11" t="n"/>
    </row>
    <row r="45">
      <c r="Q45" s="12" t="n"/>
    </row>
    <row r="46">
      <c r="Q46" s="12" t="n"/>
    </row>
    <row r="47">
      <c r="Q47" s="12" t="n"/>
    </row>
    <row r="48">
      <c r="Q48" s="12" t="n"/>
    </row>
    <row r="49">
      <c r="Q49" s="12" t="n"/>
    </row>
    <row r="50">
      <c r="Q50" s="12" t="n"/>
    </row>
    <row r="51">
      <c r="Q51" s="12" t="n"/>
    </row>
    <row r="52">
      <c r="Q52" s="12" t="n"/>
    </row>
    <row r="53">
      <c r="Q53" s="12" t="n"/>
    </row>
    <row r="54">
      <c r="Q54" s="12" t="n"/>
    </row>
    <row r="55">
      <c r="Q55" s="12" t="n"/>
    </row>
    <row r="56">
      <c r="Q56" s="12" t="n"/>
    </row>
    <row r="57">
      <c r="Q57" s="12" t="n"/>
    </row>
    <row r="58">
      <c r="Q58" s="12" t="n"/>
    </row>
    <row r="59">
      <c r="Q59" s="12" t="n"/>
    </row>
    <row r="60">
      <c r="Q60" s="12" t="n"/>
    </row>
    <row r="61">
      <c r="Q61" s="12" t="n"/>
    </row>
    <row r="62">
      <c r="Q62" s="12" t="n"/>
    </row>
    <row r="63">
      <c r="Q63" s="12" t="n"/>
    </row>
    <row r="64">
      <c r="Q64" s="12" t="n"/>
    </row>
    <row r="65">
      <c r="Q65" s="12" t="n"/>
    </row>
    <row r="66">
      <c r="Q66" s="12" t="n"/>
    </row>
    <row r="67">
      <c r="Q67" s="12" t="n"/>
    </row>
    <row r="68">
      <c r="Q68" s="12" t="n"/>
    </row>
    <row r="69">
      <c r="Q69" s="12" t="n"/>
    </row>
    <row r="70">
      <c r="Q70" s="12" t="n"/>
    </row>
    <row r="71">
      <c r="Q71" s="12" t="n"/>
    </row>
    <row r="72">
      <c r="Q72" s="12" t="n"/>
    </row>
    <row r="73">
      <c r="Q73" s="12" t="n"/>
    </row>
    <row r="74">
      <c r="Q74" s="12" t="n"/>
    </row>
    <row r="75">
      <c r="Q75" s="12" t="n"/>
    </row>
    <row r="76">
      <c r="Q76" s="12" t="n"/>
    </row>
    <row r="77">
      <c r="Q77" s="12" t="n"/>
    </row>
    <row r="78">
      <c r="Q78" s="12" t="n"/>
    </row>
    <row r="79">
      <c r="Q79" s="12" t="n"/>
    </row>
    <row r="80">
      <c r="Q80" s="12" t="n"/>
    </row>
    <row r="81">
      <c r="Q81" s="12" t="n"/>
    </row>
    <row r="82">
      <c r="Q82" s="12" t="n"/>
    </row>
    <row r="83">
      <c r="Q83" s="12" t="n"/>
    </row>
    <row r="84">
      <c r="Q84" s="12" t="n"/>
    </row>
    <row r="85">
      <c r="Q85" s="12" t="n"/>
    </row>
    <row r="86">
      <c r="Q86" s="12" t="n"/>
    </row>
    <row r="87">
      <c r="Q87" s="12" t="n"/>
    </row>
    <row r="88">
      <c r="Q88" s="12" t="n"/>
    </row>
    <row r="89">
      <c r="Q89" s="12" t="n"/>
    </row>
    <row r="90">
      <c r="Q90" s="12" t="n"/>
    </row>
    <row r="91">
      <c r="Q91" s="12" t="n"/>
    </row>
    <row r="92">
      <c r="Q92" s="12" t="n"/>
    </row>
    <row r="93">
      <c r="Q93" s="12" t="n"/>
    </row>
    <row r="94">
      <c r="Q94" s="12" t="n"/>
    </row>
    <row r="95">
      <c r="Q95" s="12" t="n"/>
    </row>
    <row r="96">
      <c r="Q96" s="12" t="n"/>
    </row>
    <row r="97">
      <c r="Q97" s="12" t="n"/>
    </row>
    <row r="98">
      <c r="Q98" s="12" t="n"/>
    </row>
    <row r="99">
      <c r="Q99" s="12" t="n"/>
    </row>
    <row r="100">
      <c r="Q100" s="12" t="n"/>
    </row>
    <row r="101">
      <c r="Q101" s="12" t="n"/>
    </row>
    <row r="102">
      <c r="Q102" s="12" t="n"/>
    </row>
    <row r="103">
      <c r="Q103" s="12" t="n"/>
    </row>
    <row r="104">
      <c r="Q104" s="12" t="n"/>
    </row>
    <row r="105">
      <c r="Q105" s="12" t="n"/>
    </row>
    <row r="106">
      <c r="Q106" s="12" t="n"/>
    </row>
    <row r="107">
      <c r="Q107" s="12" t="n"/>
    </row>
    <row r="108">
      <c r="Q108" s="12" t="n"/>
    </row>
    <row r="109">
      <c r="Q109" s="12" t="n"/>
    </row>
    <row r="110">
      <c r="Q110" s="12" t="n"/>
    </row>
    <row r="111">
      <c r="Q111" s="12" t="n"/>
    </row>
    <row r="112">
      <c r="Q112" s="12" t="n"/>
    </row>
    <row r="113">
      <c r="Q113" s="12" t="n"/>
    </row>
    <row r="114">
      <c r="Q114" s="12" t="n"/>
    </row>
    <row r="115">
      <c r="Q115" s="12" t="n"/>
    </row>
    <row r="116">
      <c r="Q116" s="12" t="n"/>
    </row>
    <row r="117">
      <c r="Q117" s="12" t="n"/>
    </row>
    <row r="118">
      <c r="Q118" s="12" t="n"/>
    </row>
    <row r="119">
      <c r="Q119" s="12" t="n"/>
    </row>
    <row r="120">
      <c r="Q120" s="12" t="n"/>
    </row>
    <row r="121">
      <c r="Q121" s="12" t="n"/>
    </row>
    <row r="122">
      <c r="Q122" s="12" t="n"/>
    </row>
    <row r="123">
      <c r="Q123" s="12" t="n"/>
    </row>
    <row r="124">
      <c r="Q124" s="12" t="n"/>
    </row>
    <row r="125">
      <c r="Q125" s="12" t="n"/>
    </row>
    <row r="126">
      <c r="Q126" s="12" t="n"/>
    </row>
    <row r="127">
      <c r="Q127" s="12" t="n"/>
    </row>
    <row r="128">
      <c r="Q128" s="12" t="n"/>
    </row>
    <row r="129">
      <c r="Q129" s="12" t="n"/>
    </row>
    <row r="130">
      <c r="Q130" s="12" t="n"/>
    </row>
    <row r="131">
      <c r="Q131" s="12" t="n"/>
    </row>
    <row r="132">
      <c r="Q132" s="12" t="n"/>
    </row>
    <row r="133">
      <c r="Q133" s="12" t="n"/>
    </row>
    <row r="134">
      <c r="Q134" s="12" t="n"/>
    </row>
    <row r="135">
      <c r="Q135" s="12" t="n"/>
    </row>
    <row r="136">
      <c r="Q136" s="12" t="n"/>
    </row>
    <row r="137">
      <c r="Q137" s="12" t="n"/>
    </row>
    <row r="138">
      <c r="Q138" s="12" t="n"/>
    </row>
    <row r="139">
      <c r="Q139" s="12" t="n"/>
    </row>
    <row r="140">
      <c r="Q140" s="12" t="n"/>
    </row>
    <row r="141">
      <c r="Q141" s="12" t="n"/>
    </row>
    <row r="142">
      <c r="Q142" s="12" t="n"/>
    </row>
    <row r="143">
      <c r="Q143" s="12" t="n"/>
    </row>
    <row r="144">
      <c r="Q144" s="12" t="n"/>
    </row>
    <row r="145">
      <c r="Q145" s="12" t="n"/>
    </row>
    <row r="146">
      <c r="Q146" s="12" t="n"/>
    </row>
    <row r="147">
      <c r="Q147" s="12" t="n"/>
    </row>
    <row r="148">
      <c r="Q148" s="12" t="n"/>
    </row>
    <row r="149">
      <c r="Q149" s="12" t="n"/>
    </row>
    <row r="150">
      <c r="Q150" s="12" t="n"/>
    </row>
    <row r="151">
      <c r="Q151" s="12" t="n"/>
    </row>
    <row r="152">
      <c r="Q152" s="12" t="n"/>
    </row>
    <row r="153">
      <c r="Q153" s="12" t="n"/>
    </row>
    <row r="154">
      <c r="Q154" s="12" t="n"/>
    </row>
    <row r="155">
      <c r="Q155" s="12" t="n"/>
    </row>
    <row r="156">
      <c r="Q156" s="12" t="n"/>
    </row>
    <row r="157">
      <c r="Q157" s="12" t="n"/>
    </row>
    <row r="158">
      <c r="Q158" s="12" t="n"/>
    </row>
    <row r="159">
      <c r="Q159" s="12" t="n"/>
    </row>
    <row r="160">
      <c r="Q160" s="12" t="n"/>
    </row>
    <row r="161">
      <c r="Q161" s="12" t="n"/>
    </row>
  </sheetData>
  <mergeCells count="11">
    <mergeCell ref="C27:C29"/>
    <mergeCell ref="C23:C24"/>
    <mergeCell ref="C4:C5"/>
    <mergeCell ref="C17:C19"/>
    <mergeCell ref="C20:C22"/>
    <mergeCell ref="C25:C26"/>
    <mergeCell ref="C15:C16"/>
    <mergeCell ref="C11:C12"/>
    <mergeCell ref="C6:C7"/>
    <mergeCell ref="C8:C10"/>
    <mergeCell ref="C13:C14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2026-08-17T12:25:00Z</dcterms:created>
  <dcterms:modified xsi:type="dcterms:W3CDTF">2026-10-22T11:01:57Z</dcterms:modified>
  <cp:lastModifiedBy>HpEliteBook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DA60395652A245D9A1F635BD78FD7A6B_13</vt:lpwstr>
  </property>
  <property name="KSOProductBuildVer" fmtid="{D5CDD505-2E9C-101B-9397-08002B2CF9AE}" pid="3">
    <vt:lpwstr>1036-12.1.0.28485</vt:lpwstr>
  </property>
  <property name="CalculationRule" fmtid="{D5CDD505-2E9C-101B-9397-08002B2CF9AE}" pid="4">
    <vt:i4>0</vt:i4>
  </property>
</Properties>
</file>