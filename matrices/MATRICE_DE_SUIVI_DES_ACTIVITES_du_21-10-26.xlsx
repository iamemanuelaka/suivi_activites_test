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EliteBook\Downloads\"/>
    </mc:Choice>
  </mc:AlternateContent>
  <xr:revisionPtr revIDLastSave="0" documentId="13_ncr:1_{020F0F94-2860-4957-8CF5-1FB960226BCC}" xr6:coauthVersionLast="47" xr6:coauthVersionMax="47" xr10:uidLastSave="{00000000-0000-0000-0000-000000000000}"/>
  <bookViews>
    <workbookView xWindow="-96" yWindow="0" windowWidth="23232" windowHeight="12336" xr2:uid="{00000000-000D-0000-FFFF-FFFF00000000}"/>
  </bookViews>
  <sheets>
    <sheet name="MATRICE DE SUIV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7" i="1"/>
  <c r="M5" i="1"/>
  <c r="M6" i="1"/>
  <c r="M4" i="1"/>
  <c r="Q30" i="1"/>
</calcChain>
</file>

<file path=xl/sharedStrings.xml><?xml version="1.0" encoding="utf-8"?>
<sst xmlns="http://schemas.openxmlformats.org/spreadsheetml/2006/main" count="229" uniqueCount="158">
  <si>
    <t>REGIONS</t>
  </si>
  <si>
    <t>DEPARTEMENT</t>
  </si>
  <si>
    <t>ENTREPRISE</t>
  </si>
  <si>
    <t>TAUX D'EXECUTION FINANCIERE</t>
  </si>
  <si>
    <t>NATURE DU MARCHE</t>
  </si>
  <si>
    <t>LOCALITES</t>
  </si>
  <si>
    <t>DATE DE REMISE DE SITE</t>
  </si>
  <si>
    <t>TAUX D'EXECUTION</t>
  </si>
  <si>
    <t>OBSERVATIONS TECHNIQUES</t>
  </si>
  <si>
    <t>OBSERVATIONS ENVIRONNEMENTALES ET SOCIALES (PGES)</t>
  </si>
  <si>
    <t>ONG MOBILISEES</t>
  </si>
  <si>
    <t>DATE DE RECEPTION PROVISOIRE</t>
  </si>
  <si>
    <t>BAFING</t>
  </si>
  <si>
    <t>KORO</t>
  </si>
  <si>
    <t>NATHA SARL</t>
  </si>
  <si>
    <t>Blocs sanitaires</t>
  </si>
  <si>
    <t>TOUBA / OUANINOU</t>
  </si>
  <si>
    <t>SIMAGE</t>
  </si>
  <si>
    <t>08 et 09/09/2026</t>
  </si>
  <si>
    <t>Validé</t>
  </si>
  <si>
    <t>ONG EPC</t>
  </si>
  <si>
    <t>BAGOUE</t>
  </si>
  <si>
    <t>BOUNDIALI</t>
  </si>
  <si>
    <t>Démarrage effectif</t>
  </si>
  <si>
    <t>AGIR pour ODD</t>
  </si>
  <si>
    <t>KOUTO</t>
  </si>
  <si>
    <t>IM-BTP POLYTECHNOLOGIES</t>
  </si>
  <si>
    <t>Transmis</t>
  </si>
  <si>
    <t>BERE</t>
  </si>
  <si>
    <t>KOUNAHIRI</t>
  </si>
  <si>
    <t>ETABLISSEMENT SILUE NAHOUO</t>
  </si>
  <si>
    <t>Non transmis</t>
  </si>
  <si>
    <t>Non mobilisée</t>
  </si>
  <si>
    <t>MANKONO</t>
  </si>
  <si>
    <t>ARI</t>
  </si>
  <si>
    <t>BOUNKANI</t>
  </si>
  <si>
    <t>BOUNA / TEHINI</t>
  </si>
  <si>
    <t>ALYAKA TRAVAUX SERVICES</t>
  </si>
  <si>
    <t>KERA-SY-IRÊ</t>
  </si>
  <si>
    <t>NASSIAN</t>
  </si>
  <si>
    <t>EBS</t>
  </si>
  <si>
    <t>ONG ETOILE DU BOUNKANI</t>
  </si>
  <si>
    <t>FOLON</t>
  </si>
  <si>
    <t>KANIASSO</t>
  </si>
  <si>
    <t>JRM &amp; ASSOCIES</t>
  </si>
  <si>
    <t>MINIGNAN</t>
  </si>
  <si>
    <t>GONTOUGO</t>
  </si>
  <si>
    <t>BONDOUKOU</t>
  </si>
  <si>
    <t>ZENITH SA</t>
  </si>
  <si>
    <t>CIBES</t>
  </si>
  <si>
    <t>KOUN-FAO</t>
  </si>
  <si>
    <t>HAMZA-BTP</t>
  </si>
  <si>
    <t>HAMBOL</t>
  </si>
  <si>
    <t>KATIOLA</t>
  </si>
  <si>
    <t>DEMBA GROUP</t>
  </si>
  <si>
    <t>ONG VOIX DE FEMME</t>
  </si>
  <si>
    <t>NIAKARA</t>
  </si>
  <si>
    <t>DABAKALA</t>
  </si>
  <si>
    <t>Transmis en cours de validation</t>
  </si>
  <si>
    <t>KABADOUGOU</t>
  </si>
  <si>
    <t>ODIENNE</t>
  </si>
  <si>
    <t>KOMENAN SERVICES ET DISTRIBUTION (KSD)</t>
  </si>
  <si>
    <t>ONG AGIR DURABLEMENT POUR LES ODD</t>
  </si>
  <si>
    <t>AZ GLOBAL SERVICES SARL</t>
  </si>
  <si>
    <t>Validation en cours</t>
  </si>
  <si>
    <t>MADINANI</t>
  </si>
  <si>
    <t>YATANA GROUP</t>
  </si>
  <si>
    <t>PORO</t>
  </si>
  <si>
    <t>KORHOGO</t>
  </si>
  <si>
    <t>EGTP</t>
  </si>
  <si>
    <t>DIKODOUGOU</t>
  </si>
  <si>
    <t>ETD Sarlu</t>
  </si>
  <si>
    <t>TCHOLOGO</t>
  </si>
  <si>
    <t>KONG</t>
  </si>
  <si>
    <t>LIKA</t>
  </si>
  <si>
    <t>ONG VICTOIRE PLUS</t>
  </si>
  <si>
    <t>FERKE / OUANGOLO</t>
  </si>
  <si>
    <t>SABARI KAGNI</t>
  </si>
  <si>
    <t>WORODOUGOU</t>
  </si>
  <si>
    <t>KANI</t>
  </si>
  <si>
    <t>ALLTECH CI</t>
  </si>
  <si>
    <t>Esperance vie</t>
  </si>
  <si>
    <t>SEGUELA</t>
  </si>
  <si>
    <t>SOCIETE GENERAL ACTIFS (SGA)</t>
  </si>
  <si>
    <t>MONTANT DECAISSE</t>
  </si>
  <si>
    <t>DATE DE RECEPTION DEFINITIVE</t>
  </si>
  <si>
    <t xml:space="preserve">Photo  preuve </t>
  </si>
  <si>
    <t xml:space="preserve"> MOAMBISSO
ZOUMASSADOUGOU
 KONINGOUELO
OUROSSANISSO
 MASSALA-BARALA</t>
  </si>
  <si>
    <t>Travaux en cours</t>
  </si>
  <si>
    <t>AGIR</t>
  </si>
  <si>
    <t>KOUADIO Michaël - superviseur (pcr</t>
  </si>
  <si>
    <t>SINGOSSO
GUENIMANZO
FENAN 2
GANHOUE
OUALOU
SABOUDOUGOU
TIAHOUE</t>
  </si>
  <si>
    <t>Demarrage autorisé</t>
  </si>
  <si>
    <t>SELECT IVOIREMULTISERVICES SARL</t>
  </si>
  <si>
    <t>BAYA
NOUKPARADOUGOU 
PONONDOUGOU
LANDIOUGOU</t>
  </si>
  <si>
    <t>superviseur</t>
  </si>
  <si>
    <t>MAHALE 
SANAHOULE
SIANHALA
TABAKORONI
SANAHOULE
DEMBASSO 
KANTARA</t>
  </si>
  <si>
    <t>LEASSO
GBEMA
BOAYAOKRO –BLIPLA</t>
  </si>
  <si>
    <t>DIALAKORO
DANGBASSO
LINGUEKORO
GBOROZOMBA
KOUASSIDOUGOU</t>
  </si>
  <si>
    <t>MISSIDOUGOU
KOUASSIDOUGOU
GBOROZOMBA
LIGBISSO
DANDOUGOU</t>
  </si>
  <si>
    <t>Npn transmis</t>
  </si>
  <si>
    <t>DIHINTEDOU
SYALEDOUO
YOUTOURDOUO
PIAYE
LANKIO
TOTOBIKERNO
LAGBO-TADJOTE
NIAMOIN</t>
  </si>
  <si>
    <t xml:space="preserve">Demarrage effectif </t>
  </si>
  <si>
    <t>validé</t>
  </si>
  <si>
    <t>BOUDOU
KIRAMISSE
GANSE
WASSIDE</t>
  </si>
  <si>
    <t xml:space="preserve">Demarrage  effectif </t>
  </si>
  <si>
    <t>KIMBIRILA NORD 
NAGUINA</t>
  </si>
  <si>
    <t>erreur et Réprise de l'OS</t>
  </si>
  <si>
    <t>MADIANA SOKORANI 
GOUEYA
TOKALA
OUELLI</t>
  </si>
  <si>
    <t xml:space="preserve"> Erreur et Reprise de l'OS</t>
  </si>
  <si>
    <t>AMODI
YAOKOKOROKO
WAKIALA
NAGAFOU
DIASSAMPA</t>
  </si>
  <si>
    <t>KOMOEKRO
N’DRAMAKRO
KOUADJAKRO
NAGBO-DONGO 
YOBOUAKRO
DOKANOU</t>
  </si>
  <si>
    <t xml:space="preserve"> 166 780 275 F CFA</t>
  </si>
  <si>
    <t>LOUGBONOU 1 
LOUGBONOU 2
TOURO
YODANKAHA
ATTIENKAHA</t>
  </si>
  <si>
    <t xml:space="preserve">
Lot 2 : 101 033 723
</t>
  </si>
  <si>
    <t xml:space="preserve">
NIEDIEKAHA
SEPIKAHA
SELILEKAHA </t>
  </si>
  <si>
    <t xml:space="preserve"> validé</t>
  </si>
  <si>
    <t xml:space="preserve">GMS </t>
  </si>
  <si>
    <t>KPANA KALO 
NAHOLO
SOKALA SOBARA 
LAHOGORA</t>
  </si>
  <si>
    <t xml:space="preserve"> mobilisée</t>
  </si>
  <si>
    <t>FENGOLO
KAKORO
TIEBALA
KADIASSO</t>
  </si>
  <si>
    <t>non  encore demarré</t>
  </si>
  <si>
    <t xml:space="preserve">SARAKORODOUGOU 
TIEKORODOUGOU
SOKORODOUGOU
TOUGOUSSO 
MASSADOUGOU </t>
  </si>
  <si>
    <t>Démarré autorisé</t>
  </si>
  <si>
    <t xml:space="preserve">SARALA
SOKORODOUGOU
MASSADOUGOU
TINDIKORO-SOKOURA </t>
  </si>
  <si>
    <t>Demarré effectif</t>
  </si>
  <si>
    <t>Centre de santé PIETRO  BONILI</t>
  </si>
  <si>
    <t>KARAFINE
NOGOTAHA
TAPRE
KADIOHA
FARAKORO</t>
  </si>
  <si>
    <t>Démarré effectif</t>
  </si>
  <si>
    <t xml:space="preserve">Solidarité </t>
  </si>
  <si>
    <t>PIGNON
LITIO
KARAFIGUE
KOKAHA
DAGBAPLE
TAHOUARA
SOHOUO
M'BALLA</t>
  </si>
  <si>
    <t xml:space="preserve">Validé </t>
  </si>
  <si>
    <t>KOROWITA
SOKOLO
KAWERE
KONIERE
BOUGOU</t>
  </si>
  <si>
    <t>NAFOUNGOLO
GBINZO
DJELISSO
SEPENEDJOKAHA</t>
  </si>
  <si>
    <t>DIOMANDOUGOU
MADJI
LIPARA
KATOGBO</t>
  </si>
  <si>
    <t>Demarrage  non effectif</t>
  </si>
  <si>
    <t>GBOHOVO
MENA
BANANDJE
KENEGBE SUD 
KENEGBE NORD 
DIARABANA
MONGBARA</t>
  </si>
  <si>
    <t xml:space="preserve">NOUVEAU SERVICES INTERNATIONAL COTE D’IVOIRE </t>
  </si>
  <si>
    <t>MARHANA
GBALO-KANDJI 
DJENIGBE 
KAVALA</t>
  </si>
  <si>
    <t>Taux d'exécution</t>
  </si>
  <si>
    <t>MONTANT</t>
  </si>
  <si>
    <t>FIN DES TRAVAUX</t>
  </si>
  <si>
    <t>DEBUT DES TRAVAUX</t>
  </si>
  <si>
    <t xml:space="preserve">NOMS DU REPONDANT ET STRUCTURE </t>
  </si>
  <si>
    <t xml:space="preserve">  185 115 390 F CFA</t>
  </si>
  <si>
    <t xml:space="preserve">  177 035 524 F CFA</t>
  </si>
  <si>
    <t xml:space="preserve">  226 830 770 F CFA</t>
  </si>
  <si>
    <t xml:space="preserve">  94 855 839 F CFA</t>
  </si>
  <si>
    <t xml:space="preserve">  158 247 725 F CFA</t>
  </si>
  <si>
    <t xml:space="preserve">  130 784 878 F CFA</t>
  </si>
  <si>
    <t xml:space="preserve">  201 879 787 F CFA</t>
  </si>
  <si>
    <t xml:space="preserve">  91 760 054 F CFA</t>
  </si>
  <si>
    <t xml:space="preserve"> 86 106 283 F CFA</t>
  </si>
  <si>
    <t xml:space="preserve">  115 388 617 F CFA</t>
  </si>
  <si>
    <t xml:space="preserve">  162 862 005 F CFA</t>
  </si>
  <si>
    <t xml:space="preserve">  158 502 830 F CFA</t>
  </si>
  <si>
    <t>RESULTATS</t>
  </si>
  <si>
    <t>DELAI (en mois)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</si>
</sst>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#,##0\ &quot;CFA&quot;"/>
  </numFmts>
  <fonts count="13">
    <font>
      <sz val="11"/>
      <color theme="1"/>
      <name val="Calibri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2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48"/>
      <color theme="1"/>
      <name val="Calibri"/>
      <charset val="134"/>
      <scheme val="minor"/>
    </font>
    <font>
      <b/>
      <sz val="12"/>
      <color theme="1"/>
      <name val="Arial"/>
      <charset val="134"/>
    </font>
    <font>
      <b/>
      <sz val="12"/>
      <name val="Arial"/>
      <charset val="134"/>
    </font>
    <font>
      <b/>
      <sz val="26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9" fontId="9" fillId="0" borderId="0"/>
    <xf numFmtId="0" fontId="10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/>
    <xf numFmtId="0" fontId="1" fillId="3" borderId="0" xfId="0" applyFont="1" applyFill="1"/>
    <xf numFmtId="0" fontId="2" fillId="2" borderId="0" xfId="0" applyFont="1" applyFill="1"/>
    <xf numFmtId="0" fontId="3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wrapText="1"/>
    </xf>
    <xf numFmtId="0" fontId="1" fillId="4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9" fontId="1" fillId="4" borderId="1" xfId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4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/>
    <xf numFmtId="0" fontId="8" fillId="4" borderId="1" xfId="0" applyFont="1" applyFill="1" applyBorder="1" applyAlignment="1">
      <alignment horizontal="center" vertical="center"/>
    </xf>
    <xf numFmtId="0" fontId="3" fillId="2" borderId="0" xfId="0" applyFont="1" applyFill="1"/>
    <xf numFmtId="14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 wrapText="1"/>
    </xf>
    <xf numFmtId="167" fontId="12" fillId="2" borderId="1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 xr:uid="{00000000-0005-0000-0000-00000200000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L161"/>
  <sheetViews>
    <sheetView tabSelected="1" topLeftCell="B1" zoomScale="70" zoomScaleNormal="70" workbookViewId="0">
      <pane xSplit="4" ySplit="3" topLeftCell="R4" activePane="bottomRight" state="frozen"/>
      <selection pane="topRight"/>
      <selection pane="bottomLeft"/>
      <selection pane="bottomRight" activeCell="V4" sqref="V4"/>
    </sheetView>
  </sheetViews>
  <sheetFormatPr baseColWidth="10" defaultColWidth="11" defaultRowHeight="14.4"/>
  <cols>
    <col min="2" max="2" width="14.33203125" style="6" customWidth="1"/>
    <col min="3" max="3" width="20.88671875" style="7" customWidth="1"/>
    <col min="4" max="4" width="20.21875" style="6" customWidth="1"/>
    <col min="5" max="5" width="42.21875" style="8" customWidth="1"/>
    <col min="6" max="8" width="21.44140625" style="9" customWidth="1"/>
    <col min="9" max="9" width="21.77734375" style="8" customWidth="1"/>
    <col min="10" max="10" width="22.33203125" customWidth="1"/>
    <col min="11" max="16" width="27.109375" style="8" customWidth="1"/>
    <col min="17" max="17" width="20.6640625" style="10" customWidth="1"/>
    <col min="18" max="18" width="26.77734375" style="6" customWidth="1"/>
    <col min="19" max="20" width="22.6640625" style="9" customWidth="1"/>
    <col min="21" max="21" width="14.77734375" customWidth="1"/>
    <col min="22" max="22" width="13.88671875" customWidth="1"/>
    <col min="23" max="23" width="22.6640625" customWidth="1"/>
    <col min="24" max="24" width="21.44140625" style="11" customWidth="1"/>
    <col min="25" max="38" width="11" style="11" customWidth="1"/>
  </cols>
  <sheetData>
    <row r="1" spans="2:38">
      <c r="N1" s="12"/>
      <c r="O1" s="12"/>
      <c r="P1" s="12"/>
      <c r="Q1" s="12"/>
    </row>
    <row r="2" spans="2:38" ht="61.2" customHeight="1">
      <c r="B2" s="13"/>
      <c r="C2" s="14"/>
      <c r="D2" s="13"/>
      <c r="E2" s="12"/>
      <c r="F2" s="15"/>
      <c r="G2" s="15"/>
      <c r="H2" s="15"/>
      <c r="I2" s="16"/>
      <c r="J2" s="17"/>
      <c r="K2" s="16"/>
      <c r="L2" s="16"/>
      <c r="M2" s="16"/>
      <c r="N2" s="12"/>
      <c r="O2" s="12"/>
      <c r="P2" s="12"/>
      <c r="Q2" s="12"/>
      <c r="R2" s="13"/>
      <c r="S2" s="15"/>
      <c r="T2" s="15"/>
      <c r="U2" s="11"/>
      <c r="V2" s="11"/>
      <c r="W2" s="11"/>
    </row>
    <row r="3" spans="2:38" s="1" customFormat="1" ht="62.4" customHeight="1">
      <c r="B3" s="18"/>
      <c r="C3" s="18" t="s">
        <v>0</v>
      </c>
      <c r="D3" s="18" t="s">
        <v>1</v>
      </c>
      <c r="E3" s="18" t="s">
        <v>2</v>
      </c>
      <c r="F3" s="18" t="s">
        <v>140</v>
      </c>
      <c r="G3" s="18" t="s">
        <v>84</v>
      </c>
      <c r="H3" s="18" t="s">
        <v>3</v>
      </c>
      <c r="I3" s="18" t="s">
        <v>4</v>
      </c>
      <c r="J3" s="18" t="s">
        <v>5</v>
      </c>
      <c r="K3" s="18" t="s">
        <v>142</v>
      </c>
      <c r="L3" s="61" t="s">
        <v>157</v>
      </c>
      <c r="M3" s="18" t="s">
        <v>141</v>
      </c>
      <c r="N3" s="18" t="s">
        <v>6</v>
      </c>
      <c r="O3" s="18"/>
      <c r="P3" s="61" t="s">
        <v>156</v>
      </c>
      <c r="Q3" s="19" t="s">
        <v>7</v>
      </c>
      <c r="R3" s="18" t="s">
        <v>8</v>
      </c>
      <c r="S3" s="18" t="s">
        <v>9</v>
      </c>
      <c r="T3" s="18" t="s">
        <v>10</v>
      </c>
      <c r="U3" s="18" t="s">
        <v>11</v>
      </c>
      <c r="V3" s="18" t="s">
        <v>85</v>
      </c>
      <c r="W3" s="18" t="s">
        <v>86</v>
      </c>
      <c r="X3" s="61" t="s">
        <v>143</v>
      </c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</row>
    <row r="4" spans="2:38" s="2" customFormat="1" ht="90.6" customHeight="1">
      <c r="B4" s="21">
        <v>1</v>
      </c>
      <c r="C4" s="56" t="s">
        <v>12</v>
      </c>
      <c r="D4" s="22" t="s">
        <v>13</v>
      </c>
      <c r="E4" s="22" t="s">
        <v>14</v>
      </c>
      <c r="F4" s="62">
        <v>118356245</v>
      </c>
      <c r="G4" s="62">
        <v>30000000</v>
      </c>
      <c r="H4" s="21">
        <v>20</v>
      </c>
      <c r="I4" s="22" t="s">
        <v>15</v>
      </c>
      <c r="J4" s="24" t="s">
        <v>87</v>
      </c>
      <c r="K4" s="52">
        <v>46251</v>
      </c>
      <c r="L4" s="22">
        <v>4</v>
      </c>
      <c r="M4" s="52">
        <f>EDATE(K4,L4)</f>
        <v>46373</v>
      </c>
      <c r="N4" s="52">
        <v>46305</v>
      </c>
      <c r="O4" s="52"/>
      <c r="P4" s="22">
        <v>100</v>
      </c>
      <c r="Q4" s="25">
        <v>0</v>
      </c>
      <c r="R4" s="26" t="s">
        <v>88</v>
      </c>
      <c r="S4" s="21" t="s">
        <v>19</v>
      </c>
      <c r="T4" s="21" t="s">
        <v>89</v>
      </c>
      <c r="U4" s="27"/>
      <c r="V4" s="27"/>
      <c r="W4" s="27"/>
      <c r="X4" s="28" t="s">
        <v>90</v>
      </c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</row>
    <row r="5" spans="2:38" s="2" customFormat="1" ht="105" customHeight="1">
      <c r="B5" s="21">
        <v>2</v>
      </c>
      <c r="C5" s="55"/>
      <c r="D5" s="22" t="s">
        <v>16</v>
      </c>
      <c r="E5" s="22" t="s">
        <v>17</v>
      </c>
      <c r="F5" s="62" t="s">
        <v>144</v>
      </c>
      <c r="G5" s="62"/>
      <c r="H5" s="21"/>
      <c r="I5" s="22" t="s">
        <v>15</v>
      </c>
      <c r="J5" s="28" t="s">
        <v>91</v>
      </c>
      <c r="K5" s="52">
        <v>46251</v>
      </c>
      <c r="L5" s="22">
        <v>4</v>
      </c>
      <c r="M5" s="52">
        <f t="shared" ref="M5:M29" si="0">EDATE(K5,L5)</f>
        <v>46373</v>
      </c>
      <c r="N5" s="22" t="s">
        <v>18</v>
      </c>
      <c r="O5" s="22"/>
      <c r="P5" s="22"/>
      <c r="Q5" s="25">
        <v>0</v>
      </c>
      <c r="R5" s="26" t="s">
        <v>92</v>
      </c>
      <c r="S5" s="21" t="s">
        <v>19</v>
      </c>
      <c r="T5" s="21" t="s">
        <v>20</v>
      </c>
      <c r="U5" s="27"/>
      <c r="V5" s="27"/>
      <c r="W5" s="27"/>
      <c r="X5" s="28"/>
    </row>
    <row r="6" spans="2:38" s="2" customFormat="1" ht="75" customHeight="1">
      <c r="B6" s="21">
        <v>3</v>
      </c>
      <c r="C6" s="53" t="s">
        <v>21</v>
      </c>
      <c r="D6" s="22" t="s">
        <v>22</v>
      </c>
      <c r="E6" s="21" t="s">
        <v>93</v>
      </c>
      <c r="F6" s="62" t="s">
        <v>145</v>
      </c>
      <c r="G6" s="62"/>
      <c r="H6" s="21">
        <v>10</v>
      </c>
      <c r="I6" s="22" t="s">
        <v>15</v>
      </c>
      <c r="J6" s="28" t="s">
        <v>94</v>
      </c>
      <c r="K6" s="52">
        <v>46258</v>
      </c>
      <c r="L6" s="22">
        <v>4</v>
      </c>
      <c r="M6" s="52">
        <f t="shared" si="0"/>
        <v>46380</v>
      </c>
      <c r="N6" s="52">
        <v>46315</v>
      </c>
      <c r="O6" s="52"/>
      <c r="P6" s="22"/>
      <c r="Q6" s="29">
        <v>0.05</v>
      </c>
      <c r="R6" s="26" t="s">
        <v>88</v>
      </c>
      <c r="S6" s="21" t="s">
        <v>19</v>
      </c>
      <c r="T6" s="21" t="s">
        <v>24</v>
      </c>
      <c r="U6" s="27"/>
      <c r="V6" s="27"/>
      <c r="W6" s="27"/>
      <c r="X6" s="28" t="s">
        <v>95</v>
      </c>
    </row>
    <row r="7" spans="2:38" s="2" customFormat="1" ht="105" customHeight="1">
      <c r="B7" s="21">
        <v>4</v>
      </c>
      <c r="C7" s="55"/>
      <c r="D7" s="22" t="s">
        <v>25</v>
      </c>
      <c r="E7" s="22" t="s">
        <v>26</v>
      </c>
      <c r="F7" s="62" t="s">
        <v>146</v>
      </c>
      <c r="G7" s="62"/>
      <c r="H7" s="21"/>
      <c r="I7" s="22" t="s">
        <v>15</v>
      </c>
      <c r="J7" s="28" t="s">
        <v>96</v>
      </c>
      <c r="K7" s="22"/>
      <c r="L7" s="22">
        <v>4</v>
      </c>
      <c r="M7" s="52">
        <f t="shared" si="0"/>
        <v>121</v>
      </c>
      <c r="N7" s="22"/>
      <c r="O7" s="22"/>
      <c r="P7" s="22"/>
      <c r="Q7" s="29">
        <v>0</v>
      </c>
      <c r="R7" s="26" t="s">
        <v>92</v>
      </c>
      <c r="S7" s="21" t="s">
        <v>27</v>
      </c>
      <c r="T7" s="21" t="s">
        <v>24</v>
      </c>
      <c r="U7" s="27"/>
      <c r="V7" s="27"/>
      <c r="W7" s="27"/>
      <c r="X7" s="28"/>
    </row>
    <row r="8" spans="2:38" s="3" customFormat="1" ht="60" customHeight="1">
      <c r="B8" s="30">
        <v>5</v>
      </c>
      <c r="C8" s="57" t="s">
        <v>28</v>
      </c>
      <c r="D8" s="31" t="s">
        <v>29</v>
      </c>
      <c r="E8" s="31" t="s">
        <v>30</v>
      </c>
      <c r="F8" s="62" t="s">
        <v>147</v>
      </c>
      <c r="G8" s="62"/>
      <c r="H8" s="30"/>
      <c r="I8" s="31" t="s">
        <v>15</v>
      </c>
      <c r="J8" s="32" t="s">
        <v>97</v>
      </c>
      <c r="K8" s="59">
        <v>46258</v>
      </c>
      <c r="L8" s="31">
        <v>4</v>
      </c>
      <c r="M8" s="52">
        <f t="shared" si="0"/>
        <v>46380</v>
      </c>
      <c r="N8" s="31"/>
      <c r="O8" s="31"/>
      <c r="P8" s="31"/>
      <c r="Q8" s="29">
        <v>0</v>
      </c>
      <c r="R8" s="31"/>
      <c r="S8" s="21" t="s">
        <v>31</v>
      </c>
      <c r="T8" s="21" t="s">
        <v>32</v>
      </c>
      <c r="U8" s="31"/>
      <c r="V8" s="31"/>
      <c r="W8" s="31"/>
      <c r="X8" s="30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2:38" s="3" customFormat="1" ht="75" customHeight="1">
      <c r="B9" s="30">
        <v>6</v>
      </c>
      <c r="C9" s="54"/>
      <c r="D9" s="31" t="s">
        <v>33</v>
      </c>
      <c r="E9" s="31" t="s">
        <v>34</v>
      </c>
      <c r="F9" s="62" t="s">
        <v>148</v>
      </c>
      <c r="G9" s="62"/>
      <c r="H9" s="30"/>
      <c r="I9" s="31" t="s">
        <v>15</v>
      </c>
      <c r="J9" s="33" t="s">
        <v>98</v>
      </c>
      <c r="K9" s="59">
        <v>46258</v>
      </c>
      <c r="L9" s="31">
        <v>4</v>
      </c>
      <c r="M9" s="52">
        <f t="shared" si="0"/>
        <v>46380</v>
      </c>
      <c r="N9" s="31"/>
      <c r="O9" s="31"/>
      <c r="P9" s="31"/>
      <c r="Q9" s="25">
        <v>0</v>
      </c>
      <c r="R9" s="31"/>
      <c r="S9" s="21" t="s">
        <v>31</v>
      </c>
      <c r="T9" s="21" t="s">
        <v>32</v>
      </c>
      <c r="U9" s="31"/>
      <c r="V9" s="31"/>
      <c r="W9" s="31"/>
      <c r="X9" s="30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2:38" s="3" customFormat="1" ht="75" customHeight="1">
      <c r="B10" s="30">
        <v>7</v>
      </c>
      <c r="C10" s="55"/>
      <c r="D10" s="31" t="s">
        <v>33</v>
      </c>
      <c r="E10" s="31" t="s">
        <v>34</v>
      </c>
      <c r="F10" s="62" t="s">
        <v>149</v>
      </c>
      <c r="G10" s="62"/>
      <c r="H10" s="30"/>
      <c r="I10" s="31" t="s">
        <v>15</v>
      </c>
      <c r="J10" s="33" t="s">
        <v>99</v>
      </c>
      <c r="K10" s="59">
        <v>46258</v>
      </c>
      <c r="L10" s="31">
        <v>4</v>
      </c>
      <c r="M10" s="52">
        <f t="shared" si="0"/>
        <v>46380</v>
      </c>
      <c r="N10" s="31"/>
      <c r="O10" s="31"/>
      <c r="P10" s="31"/>
      <c r="Q10" s="25">
        <v>0</v>
      </c>
      <c r="R10" s="34"/>
      <c r="S10" s="21" t="s">
        <v>100</v>
      </c>
      <c r="T10" s="21" t="s">
        <v>32</v>
      </c>
      <c r="U10" s="35"/>
      <c r="V10" s="35"/>
      <c r="W10" s="35"/>
      <c r="X10" s="33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2:38" s="2" customFormat="1" ht="120" customHeight="1">
      <c r="B11" s="21">
        <v>8</v>
      </c>
      <c r="C11" s="53" t="s">
        <v>35</v>
      </c>
      <c r="D11" s="22" t="s">
        <v>36</v>
      </c>
      <c r="E11" s="21" t="s">
        <v>37</v>
      </c>
      <c r="F11" s="62" t="s">
        <v>150</v>
      </c>
      <c r="G11" s="62"/>
      <c r="H11" s="21"/>
      <c r="I11" s="22" t="s">
        <v>15</v>
      </c>
      <c r="J11" s="28" t="s">
        <v>101</v>
      </c>
      <c r="K11" s="52">
        <v>46261</v>
      </c>
      <c r="L11" s="22">
        <v>4</v>
      </c>
      <c r="M11" s="52">
        <f t="shared" si="0"/>
        <v>46383</v>
      </c>
      <c r="N11" s="22"/>
      <c r="O11" s="22"/>
      <c r="P11" s="22"/>
      <c r="Q11" s="29">
        <v>0.05</v>
      </c>
      <c r="R11" s="26" t="s">
        <v>102</v>
      </c>
      <c r="S11" s="21" t="s">
        <v>103</v>
      </c>
      <c r="T11" s="21" t="s">
        <v>38</v>
      </c>
      <c r="U11" s="27"/>
      <c r="V11" s="27"/>
      <c r="W11" s="27"/>
      <c r="X11" s="28"/>
    </row>
    <row r="12" spans="2:38" s="2" customFormat="1" ht="60" customHeight="1">
      <c r="B12" s="21">
        <v>9</v>
      </c>
      <c r="C12" s="55"/>
      <c r="D12" s="22" t="s">
        <v>39</v>
      </c>
      <c r="E12" s="22" t="s">
        <v>40</v>
      </c>
      <c r="F12" s="62" t="s">
        <v>151</v>
      </c>
      <c r="G12" s="62"/>
      <c r="H12" s="21"/>
      <c r="I12" s="22" t="s">
        <v>15</v>
      </c>
      <c r="J12" s="28" t="s">
        <v>104</v>
      </c>
      <c r="K12" s="22"/>
      <c r="L12" s="22">
        <v>4</v>
      </c>
      <c r="M12" s="52">
        <f t="shared" si="0"/>
        <v>121</v>
      </c>
      <c r="N12" s="22"/>
      <c r="O12" s="22"/>
      <c r="P12" s="22"/>
      <c r="Q12" s="25">
        <v>0</v>
      </c>
      <c r="R12" s="26" t="s">
        <v>105</v>
      </c>
      <c r="S12" s="21" t="s">
        <v>103</v>
      </c>
      <c r="T12" s="21" t="s">
        <v>41</v>
      </c>
      <c r="U12" s="27"/>
      <c r="V12" s="27"/>
      <c r="W12" s="27"/>
      <c r="X12" s="28"/>
    </row>
    <row r="13" spans="2:38" s="4" customFormat="1" ht="61.95" customHeight="1">
      <c r="B13" s="36">
        <v>10</v>
      </c>
      <c r="C13" s="58" t="s">
        <v>42</v>
      </c>
      <c r="D13" s="37" t="s">
        <v>43</v>
      </c>
      <c r="E13" s="37" t="s">
        <v>44</v>
      </c>
      <c r="F13" s="62" t="s">
        <v>152</v>
      </c>
      <c r="G13" s="62"/>
      <c r="H13" s="36"/>
      <c r="I13" s="37" t="s">
        <v>15</v>
      </c>
      <c r="J13" s="38" t="s">
        <v>106</v>
      </c>
      <c r="K13" s="60">
        <v>46258</v>
      </c>
      <c r="L13" s="37">
        <v>4</v>
      </c>
      <c r="M13" s="52">
        <f t="shared" si="0"/>
        <v>46380</v>
      </c>
      <c r="N13" s="37"/>
      <c r="O13" s="37"/>
      <c r="P13" s="37"/>
      <c r="Q13" s="39">
        <v>0</v>
      </c>
      <c r="R13" s="40" t="s">
        <v>107</v>
      </c>
      <c r="S13" s="36" t="s">
        <v>31</v>
      </c>
      <c r="T13" s="36" t="s">
        <v>32</v>
      </c>
      <c r="U13" s="41"/>
      <c r="V13" s="41"/>
      <c r="W13" s="41"/>
      <c r="X13" s="42"/>
    </row>
    <row r="14" spans="2:38" s="4" customFormat="1" ht="75" customHeight="1">
      <c r="B14" s="36">
        <v>11</v>
      </c>
      <c r="C14" s="55"/>
      <c r="D14" s="37" t="s">
        <v>45</v>
      </c>
      <c r="E14" s="37" t="s">
        <v>44</v>
      </c>
      <c r="F14" s="62" t="s">
        <v>153</v>
      </c>
      <c r="G14" s="62"/>
      <c r="H14" s="36"/>
      <c r="I14" s="37" t="s">
        <v>15</v>
      </c>
      <c r="J14" s="42" t="s">
        <v>108</v>
      </c>
      <c r="K14" s="60">
        <v>46258</v>
      </c>
      <c r="L14" s="37">
        <v>4</v>
      </c>
      <c r="M14" s="52">
        <f t="shared" si="0"/>
        <v>46380</v>
      </c>
      <c r="N14" s="37"/>
      <c r="O14" s="37"/>
      <c r="P14" s="37"/>
      <c r="Q14" s="39">
        <v>0</v>
      </c>
      <c r="R14" s="40" t="s">
        <v>109</v>
      </c>
      <c r="S14" s="36" t="s">
        <v>31</v>
      </c>
      <c r="T14" s="36" t="s">
        <v>32</v>
      </c>
      <c r="U14" s="41"/>
      <c r="V14" s="41"/>
      <c r="W14" s="41"/>
      <c r="X14" s="42"/>
    </row>
    <row r="15" spans="2:38" s="2" customFormat="1" ht="75.599999999999994" customHeight="1">
      <c r="B15" s="21">
        <v>12</v>
      </c>
      <c r="C15" s="53" t="s">
        <v>46</v>
      </c>
      <c r="D15" s="22" t="s">
        <v>47</v>
      </c>
      <c r="E15" s="22" t="s">
        <v>48</v>
      </c>
      <c r="F15" s="62" t="s">
        <v>154</v>
      </c>
      <c r="G15" s="62"/>
      <c r="H15" s="21"/>
      <c r="I15" s="22" t="s">
        <v>15</v>
      </c>
      <c r="J15" s="28" t="s">
        <v>110</v>
      </c>
      <c r="K15" s="52">
        <v>46265</v>
      </c>
      <c r="L15" s="22">
        <v>4</v>
      </c>
      <c r="M15" s="52">
        <f t="shared" si="0"/>
        <v>46387</v>
      </c>
      <c r="N15" s="22"/>
      <c r="O15" s="22"/>
      <c r="P15" s="22"/>
      <c r="Q15" s="25">
        <v>10</v>
      </c>
      <c r="R15" s="26" t="s">
        <v>102</v>
      </c>
      <c r="S15" s="21" t="s">
        <v>103</v>
      </c>
      <c r="T15" s="21" t="s">
        <v>49</v>
      </c>
      <c r="U15" s="27"/>
      <c r="V15" s="27"/>
      <c r="W15" s="27"/>
      <c r="X15" s="28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</row>
    <row r="16" spans="2:38" s="2" customFormat="1" ht="90.6" customHeight="1">
      <c r="B16" s="21">
        <v>13</v>
      </c>
      <c r="C16" s="55"/>
      <c r="D16" s="22" t="s">
        <v>50</v>
      </c>
      <c r="E16" s="22" t="s">
        <v>51</v>
      </c>
      <c r="F16" s="62" t="s">
        <v>155</v>
      </c>
      <c r="G16" s="62"/>
      <c r="H16" s="21"/>
      <c r="I16" s="22" t="s">
        <v>15</v>
      </c>
      <c r="J16" s="28" t="s">
        <v>111</v>
      </c>
      <c r="K16" s="52">
        <v>46261</v>
      </c>
      <c r="L16" s="22">
        <v>4</v>
      </c>
      <c r="M16" s="52">
        <f t="shared" si="0"/>
        <v>46383</v>
      </c>
      <c r="N16" s="22"/>
      <c r="O16" s="22"/>
      <c r="P16" s="22"/>
      <c r="Q16" s="25">
        <v>0</v>
      </c>
      <c r="R16" s="26" t="s">
        <v>105</v>
      </c>
      <c r="S16" s="21" t="s">
        <v>103</v>
      </c>
      <c r="T16" s="21" t="s">
        <v>49</v>
      </c>
      <c r="U16" s="27"/>
      <c r="V16" s="27"/>
      <c r="W16" s="27"/>
      <c r="X16" s="28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</row>
    <row r="17" spans="2:38" s="2" customFormat="1" ht="75" customHeight="1">
      <c r="B17" s="21">
        <v>14</v>
      </c>
      <c r="C17" s="53" t="s">
        <v>52</v>
      </c>
      <c r="D17" s="22" t="s">
        <v>53</v>
      </c>
      <c r="E17" s="22" t="s">
        <v>54</v>
      </c>
      <c r="F17" s="62" t="s">
        <v>112</v>
      </c>
      <c r="G17" s="62"/>
      <c r="H17" s="21"/>
      <c r="I17" s="22" t="s">
        <v>15</v>
      </c>
      <c r="J17" s="28" t="s">
        <v>113</v>
      </c>
      <c r="K17" s="52">
        <v>46251</v>
      </c>
      <c r="L17" s="22">
        <v>4</v>
      </c>
      <c r="M17" s="52">
        <f t="shared" si="0"/>
        <v>46373</v>
      </c>
      <c r="N17" s="22"/>
      <c r="O17" s="22"/>
      <c r="P17" s="22"/>
      <c r="Q17" s="25">
        <v>30</v>
      </c>
      <c r="R17" s="23" t="s">
        <v>102</v>
      </c>
      <c r="S17" s="36" t="s">
        <v>103</v>
      </c>
      <c r="T17" s="21" t="s">
        <v>55</v>
      </c>
      <c r="U17" s="27"/>
      <c r="V17" s="27"/>
      <c r="W17" s="27"/>
      <c r="X17" s="28"/>
    </row>
    <row r="18" spans="2:38" s="2" customFormat="1" ht="60" customHeight="1">
      <c r="B18" s="21">
        <v>15</v>
      </c>
      <c r="C18" s="54"/>
      <c r="D18" s="22" t="s">
        <v>56</v>
      </c>
      <c r="E18" s="22" t="s">
        <v>54</v>
      </c>
      <c r="F18" s="62" t="s">
        <v>114</v>
      </c>
      <c r="G18" s="62"/>
      <c r="H18" s="21"/>
      <c r="I18" s="22" t="s">
        <v>15</v>
      </c>
      <c r="J18" s="43" t="s">
        <v>115</v>
      </c>
      <c r="K18" s="52">
        <v>46251</v>
      </c>
      <c r="L18" s="22">
        <v>4</v>
      </c>
      <c r="M18" s="52">
        <f t="shared" si="0"/>
        <v>46373</v>
      </c>
      <c r="N18" s="22"/>
      <c r="O18" s="22"/>
      <c r="P18" s="22"/>
      <c r="Q18" s="25">
        <v>40</v>
      </c>
      <c r="R18" s="23" t="s">
        <v>102</v>
      </c>
      <c r="S18" s="21" t="s">
        <v>116</v>
      </c>
      <c r="T18" s="21" t="s">
        <v>55</v>
      </c>
      <c r="U18" s="27"/>
      <c r="V18" s="27"/>
      <c r="W18" s="27"/>
      <c r="X18" s="28"/>
    </row>
    <row r="19" spans="2:38" s="2" customFormat="1" ht="60" customHeight="1">
      <c r="B19" s="21">
        <v>16</v>
      </c>
      <c r="C19" s="55"/>
      <c r="D19" s="22" t="s">
        <v>57</v>
      </c>
      <c r="E19" s="22" t="s">
        <v>117</v>
      </c>
      <c r="F19" s="62">
        <v>145938840</v>
      </c>
      <c r="G19" s="62"/>
      <c r="H19" s="44"/>
      <c r="I19" s="22" t="s">
        <v>15</v>
      </c>
      <c r="J19" s="43" t="s">
        <v>118</v>
      </c>
      <c r="K19" s="52">
        <v>46251</v>
      </c>
      <c r="L19" s="22">
        <v>4</v>
      </c>
      <c r="M19" s="52">
        <f t="shared" si="0"/>
        <v>46373</v>
      </c>
      <c r="N19" s="22"/>
      <c r="O19" s="22"/>
      <c r="P19" s="22"/>
      <c r="Q19" s="25">
        <v>50</v>
      </c>
      <c r="R19" s="26" t="s">
        <v>23</v>
      </c>
      <c r="S19" s="21" t="s">
        <v>58</v>
      </c>
      <c r="T19" s="21" t="s">
        <v>119</v>
      </c>
      <c r="U19" s="27"/>
      <c r="V19" s="27"/>
      <c r="W19" s="27"/>
      <c r="X19" s="28"/>
    </row>
    <row r="20" spans="2:38" s="3" customFormat="1" ht="60" customHeight="1">
      <c r="B20" s="30">
        <v>17</v>
      </c>
      <c r="C20" s="57" t="s">
        <v>59</v>
      </c>
      <c r="D20" s="31" t="s">
        <v>60</v>
      </c>
      <c r="E20" s="31" t="s">
        <v>61</v>
      </c>
      <c r="F20" s="62">
        <v>96214685</v>
      </c>
      <c r="G20" s="62"/>
      <c r="H20" s="45"/>
      <c r="I20" s="31" t="s">
        <v>15</v>
      </c>
      <c r="J20" s="33" t="s">
        <v>120</v>
      </c>
      <c r="K20" s="59">
        <v>46258</v>
      </c>
      <c r="L20" s="31">
        <v>4</v>
      </c>
      <c r="M20" s="52">
        <f t="shared" si="0"/>
        <v>46380</v>
      </c>
      <c r="N20" s="31"/>
      <c r="O20" s="31"/>
      <c r="P20" s="31"/>
      <c r="Q20" s="25">
        <v>0</v>
      </c>
      <c r="R20" s="34" t="s">
        <v>121</v>
      </c>
      <c r="S20" s="30" t="s">
        <v>58</v>
      </c>
      <c r="T20" s="30" t="s">
        <v>62</v>
      </c>
      <c r="U20" s="35"/>
      <c r="V20" s="35"/>
      <c r="W20" s="35"/>
      <c r="X20" s="33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2:38" s="3" customFormat="1" ht="90" customHeight="1">
      <c r="B21" s="30">
        <v>18</v>
      </c>
      <c r="C21" s="54"/>
      <c r="D21" s="31" t="s">
        <v>60</v>
      </c>
      <c r="E21" s="31" t="s">
        <v>63</v>
      </c>
      <c r="F21" s="62">
        <v>91562164</v>
      </c>
      <c r="G21" s="62"/>
      <c r="H21" s="45"/>
      <c r="I21" s="31" t="s">
        <v>15</v>
      </c>
      <c r="J21" s="33" t="s">
        <v>122</v>
      </c>
      <c r="K21" s="59">
        <v>46258</v>
      </c>
      <c r="L21" s="31">
        <v>4</v>
      </c>
      <c r="M21" s="52">
        <f t="shared" si="0"/>
        <v>46380</v>
      </c>
      <c r="N21" s="31"/>
      <c r="O21" s="31"/>
      <c r="P21" s="31"/>
      <c r="Q21" s="25">
        <v>0</v>
      </c>
      <c r="R21" s="34" t="s">
        <v>123</v>
      </c>
      <c r="S21" s="30" t="s">
        <v>64</v>
      </c>
      <c r="T21" s="30" t="s">
        <v>62</v>
      </c>
      <c r="U21" s="35"/>
      <c r="V21" s="35"/>
      <c r="W21" s="35"/>
      <c r="X21" s="33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2:38" s="2" customFormat="1" ht="75" customHeight="1">
      <c r="B22" s="21">
        <v>19</v>
      </c>
      <c r="C22" s="55"/>
      <c r="D22" s="22" t="s">
        <v>65</v>
      </c>
      <c r="E22" s="22" t="s">
        <v>66</v>
      </c>
      <c r="F22" s="62">
        <v>108295464</v>
      </c>
      <c r="G22" s="62"/>
      <c r="H22" s="44"/>
      <c r="I22" s="22" t="s">
        <v>15</v>
      </c>
      <c r="J22" s="28" t="s">
        <v>124</v>
      </c>
      <c r="K22" s="52">
        <v>46258</v>
      </c>
      <c r="L22" s="22">
        <v>4</v>
      </c>
      <c r="M22" s="52">
        <f t="shared" si="0"/>
        <v>46380</v>
      </c>
      <c r="N22" s="22"/>
      <c r="O22" s="22"/>
      <c r="P22" s="22"/>
      <c r="Q22" s="25">
        <v>0</v>
      </c>
      <c r="R22" s="26" t="s">
        <v>125</v>
      </c>
      <c r="S22" s="21" t="s">
        <v>58</v>
      </c>
      <c r="T22" s="21" t="s">
        <v>126</v>
      </c>
      <c r="U22" s="27"/>
      <c r="V22" s="27"/>
      <c r="W22" s="27"/>
      <c r="X22" s="28"/>
    </row>
    <row r="23" spans="2:38" s="2" customFormat="1" ht="75" customHeight="1">
      <c r="B23" s="21">
        <v>20</v>
      </c>
      <c r="C23" s="53" t="s">
        <v>67</v>
      </c>
      <c r="D23" s="22" t="s">
        <v>68</v>
      </c>
      <c r="E23" s="22" t="s">
        <v>69</v>
      </c>
      <c r="F23" s="62">
        <v>140410915</v>
      </c>
      <c r="G23" s="62"/>
      <c r="H23" s="44"/>
      <c r="I23" s="22" t="s">
        <v>15</v>
      </c>
      <c r="J23" s="28" t="s">
        <v>127</v>
      </c>
      <c r="K23" s="52">
        <v>46261</v>
      </c>
      <c r="L23" s="22">
        <v>4</v>
      </c>
      <c r="M23" s="52">
        <f t="shared" si="0"/>
        <v>46383</v>
      </c>
      <c r="N23" s="22"/>
      <c r="O23" s="22"/>
      <c r="P23" s="22"/>
      <c r="Q23" s="25">
        <v>20</v>
      </c>
      <c r="R23" s="26" t="s">
        <v>128</v>
      </c>
      <c r="S23" s="21" t="s">
        <v>19</v>
      </c>
      <c r="T23" s="21" t="s">
        <v>129</v>
      </c>
      <c r="U23" s="27"/>
      <c r="V23" s="27"/>
      <c r="W23" s="27"/>
      <c r="X23" s="28"/>
    </row>
    <row r="24" spans="2:38" s="2" customFormat="1" ht="120" customHeight="1">
      <c r="B24" s="21">
        <v>21</v>
      </c>
      <c r="C24" s="55"/>
      <c r="D24" s="22" t="s">
        <v>70</v>
      </c>
      <c r="E24" s="22" t="s">
        <v>71</v>
      </c>
      <c r="F24" s="62">
        <v>246235000</v>
      </c>
      <c r="G24" s="62"/>
      <c r="H24" s="44"/>
      <c r="I24" s="22" t="s">
        <v>15</v>
      </c>
      <c r="J24" s="28" t="s">
        <v>130</v>
      </c>
      <c r="K24" s="52">
        <v>46261</v>
      </c>
      <c r="L24" s="22">
        <v>4</v>
      </c>
      <c r="M24" s="52">
        <f t="shared" si="0"/>
        <v>46383</v>
      </c>
      <c r="N24" s="22"/>
      <c r="O24" s="22"/>
      <c r="P24" s="22"/>
      <c r="Q24" s="25">
        <v>15</v>
      </c>
      <c r="R24" s="26" t="s">
        <v>23</v>
      </c>
      <c r="S24" s="21" t="s">
        <v>131</v>
      </c>
      <c r="T24" s="21" t="s">
        <v>32</v>
      </c>
      <c r="U24" s="27"/>
      <c r="V24" s="27"/>
      <c r="W24" s="27"/>
      <c r="X24" s="28"/>
    </row>
    <row r="25" spans="2:38" s="2" customFormat="1" ht="75" customHeight="1">
      <c r="B25" s="21">
        <v>22</v>
      </c>
      <c r="C25" s="53" t="s">
        <v>72</v>
      </c>
      <c r="D25" s="22" t="s">
        <v>73</v>
      </c>
      <c r="E25" s="22" t="s">
        <v>74</v>
      </c>
      <c r="F25" s="62">
        <v>162382000</v>
      </c>
      <c r="G25" s="62"/>
      <c r="H25" s="44"/>
      <c r="I25" s="22" t="s">
        <v>15</v>
      </c>
      <c r="J25" s="28" t="s">
        <v>132</v>
      </c>
      <c r="K25" s="52">
        <v>46261</v>
      </c>
      <c r="L25" s="22">
        <v>4</v>
      </c>
      <c r="M25" s="52">
        <f t="shared" si="0"/>
        <v>46383</v>
      </c>
      <c r="N25" s="22"/>
      <c r="O25" s="22"/>
      <c r="P25" s="22"/>
      <c r="Q25" s="25">
        <v>0</v>
      </c>
      <c r="R25" s="26" t="s">
        <v>23</v>
      </c>
      <c r="S25" s="21" t="s">
        <v>19</v>
      </c>
      <c r="T25" s="21" t="s">
        <v>75</v>
      </c>
      <c r="U25" s="27"/>
      <c r="V25" s="27"/>
      <c r="W25" s="27"/>
      <c r="X25" s="28"/>
    </row>
    <row r="26" spans="2:38" s="2" customFormat="1" ht="60" customHeight="1">
      <c r="B26" s="21">
        <v>23</v>
      </c>
      <c r="C26" s="55"/>
      <c r="D26" s="22" t="s">
        <v>76</v>
      </c>
      <c r="E26" s="22" t="s">
        <v>77</v>
      </c>
      <c r="F26" s="62">
        <v>159222422</v>
      </c>
      <c r="G26" s="62"/>
      <c r="H26" s="44"/>
      <c r="I26" s="22" t="s">
        <v>15</v>
      </c>
      <c r="J26" s="28" t="s">
        <v>133</v>
      </c>
      <c r="K26" s="52">
        <v>46261</v>
      </c>
      <c r="L26" s="22">
        <v>4</v>
      </c>
      <c r="M26" s="52">
        <f t="shared" si="0"/>
        <v>46383</v>
      </c>
      <c r="N26" s="22"/>
      <c r="O26" s="22"/>
      <c r="P26" s="22"/>
      <c r="Q26" s="25">
        <v>0</v>
      </c>
      <c r="R26" s="26" t="s">
        <v>105</v>
      </c>
      <c r="S26" s="21" t="s">
        <v>103</v>
      </c>
      <c r="T26" s="21" t="s">
        <v>24</v>
      </c>
      <c r="U26" s="27"/>
      <c r="V26" s="27"/>
      <c r="W26" s="27"/>
      <c r="X26" s="28"/>
    </row>
    <row r="27" spans="2:38" s="3" customFormat="1" ht="60" customHeight="1">
      <c r="B27" s="21">
        <v>24</v>
      </c>
      <c r="C27" s="53" t="s">
        <v>78</v>
      </c>
      <c r="D27" s="22" t="s">
        <v>79</v>
      </c>
      <c r="E27" s="22" t="s">
        <v>80</v>
      </c>
      <c r="F27" s="62">
        <v>193740000</v>
      </c>
      <c r="G27" s="62"/>
      <c r="H27" s="44"/>
      <c r="I27" s="22" t="s">
        <v>15</v>
      </c>
      <c r="J27" s="28" t="s">
        <v>134</v>
      </c>
      <c r="K27" s="22"/>
      <c r="L27" s="22">
        <v>4</v>
      </c>
      <c r="M27" s="52">
        <f t="shared" si="0"/>
        <v>121</v>
      </c>
      <c r="N27" s="22"/>
      <c r="O27" s="22"/>
      <c r="P27" s="22"/>
      <c r="Q27" s="25">
        <v>0</v>
      </c>
      <c r="R27" s="26" t="s">
        <v>135</v>
      </c>
      <c r="S27" s="21" t="s">
        <v>58</v>
      </c>
      <c r="T27" s="21" t="s">
        <v>81</v>
      </c>
      <c r="U27" s="27"/>
      <c r="V27" s="27"/>
      <c r="W27" s="27"/>
      <c r="X27" s="28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2:38" s="2" customFormat="1" ht="105" customHeight="1">
      <c r="B28" s="21">
        <v>25</v>
      </c>
      <c r="C28" s="54"/>
      <c r="D28" s="22" t="s">
        <v>82</v>
      </c>
      <c r="E28" s="22" t="s">
        <v>83</v>
      </c>
      <c r="F28" s="62">
        <v>147335706</v>
      </c>
      <c r="G28" s="62"/>
      <c r="H28" s="44"/>
      <c r="I28" s="22" t="s">
        <v>15</v>
      </c>
      <c r="J28" s="28" t="s">
        <v>136</v>
      </c>
      <c r="K28" s="52">
        <v>46258</v>
      </c>
      <c r="L28" s="22">
        <v>4</v>
      </c>
      <c r="M28" s="52">
        <f t="shared" si="0"/>
        <v>46380</v>
      </c>
      <c r="N28" s="22"/>
      <c r="O28" s="22"/>
      <c r="P28" s="22"/>
      <c r="Q28" s="25">
        <v>0</v>
      </c>
      <c r="R28" s="26" t="s">
        <v>105</v>
      </c>
      <c r="S28" s="21" t="s">
        <v>58</v>
      </c>
      <c r="T28" s="21" t="s">
        <v>32</v>
      </c>
      <c r="U28" s="27"/>
      <c r="V28" s="27"/>
      <c r="W28" s="27"/>
      <c r="X28" s="28"/>
    </row>
    <row r="29" spans="2:38" s="2" customFormat="1" ht="60" customHeight="1">
      <c r="B29" s="21">
        <v>26</v>
      </c>
      <c r="C29" s="55"/>
      <c r="D29" s="22" t="s">
        <v>82</v>
      </c>
      <c r="E29" s="22" t="s">
        <v>137</v>
      </c>
      <c r="F29" s="62">
        <v>118575500</v>
      </c>
      <c r="G29" s="62"/>
      <c r="H29" s="44"/>
      <c r="I29" s="22" t="s">
        <v>15</v>
      </c>
      <c r="J29" s="28" t="s">
        <v>138</v>
      </c>
      <c r="K29" s="52">
        <v>46258</v>
      </c>
      <c r="L29" s="22">
        <v>4</v>
      </c>
      <c r="M29" s="52">
        <f t="shared" si="0"/>
        <v>46380</v>
      </c>
      <c r="N29" s="22"/>
      <c r="O29" s="22"/>
      <c r="P29" s="22"/>
      <c r="Q29" s="25">
        <v>0</v>
      </c>
      <c r="R29" s="26" t="s">
        <v>105</v>
      </c>
      <c r="S29" s="21" t="s">
        <v>58</v>
      </c>
      <c r="T29" s="21" t="s">
        <v>32</v>
      </c>
      <c r="U29" s="27"/>
      <c r="V29" s="27"/>
      <c r="W29" s="27"/>
      <c r="X29" s="28"/>
    </row>
    <row r="30" spans="2:38" s="5" customFormat="1" ht="78" customHeight="1">
      <c r="B30" s="46"/>
      <c r="C30" s="46" t="s">
        <v>139</v>
      </c>
      <c r="D30" s="46"/>
      <c r="E30" s="47"/>
      <c r="F30" s="48"/>
      <c r="G30" s="48"/>
      <c r="H30" s="48"/>
      <c r="I30" s="47"/>
      <c r="J30" s="49"/>
      <c r="K30" s="47"/>
      <c r="L30" s="47"/>
      <c r="M30" s="47"/>
      <c r="N30" s="47"/>
      <c r="O30" s="47"/>
      <c r="P30" s="47"/>
      <c r="Q30" s="50">
        <f>AVERAGE(Q4:Q29)</f>
        <v>6.35</v>
      </c>
      <c r="R30" s="46"/>
      <c r="S30" s="48"/>
      <c r="T30" s="48"/>
      <c r="U30" s="49"/>
      <c r="V30" s="49"/>
      <c r="W30" s="49"/>
      <c r="X30" s="49"/>
      <c r="Y30" s="51"/>
      <c r="Z30" s="5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</row>
    <row r="31" spans="2:38">
      <c r="B31" s="13"/>
      <c r="C31" s="14"/>
      <c r="D31" s="13"/>
      <c r="E31" s="12"/>
      <c r="F31" s="15"/>
      <c r="G31" s="15"/>
      <c r="H31" s="15"/>
      <c r="I31" s="12"/>
      <c r="J31" s="11"/>
      <c r="K31" s="12"/>
      <c r="L31" s="12"/>
      <c r="M31" s="12"/>
      <c r="N31" s="12"/>
      <c r="O31" s="12"/>
      <c r="P31" s="12"/>
      <c r="Q31" s="12"/>
      <c r="R31" s="13"/>
      <c r="S31" s="15"/>
      <c r="T31" s="15"/>
      <c r="U31" s="11"/>
      <c r="V31" s="11"/>
      <c r="W31" s="11"/>
    </row>
    <row r="32" spans="2:38">
      <c r="B32" s="13"/>
      <c r="C32" s="14"/>
      <c r="D32" s="13"/>
      <c r="E32" s="12"/>
      <c r="F32" s="15"/>
      <c r="G32" s="15"/>
      <c r="H32" s="15"/>
      <c r="I32" s="12"/>
      <c r="J32" s="11"/>
      <c r="K32" s="12"/>
      <c r="L32" s="12"/>
      <c r="M32" s="12"/>
      <c r="N32" s="12"/>
      <c r="O32" s="12"/>
      <c r="P32" s="12"/>
      <c r="Q32" s="12"/>
      <c r="R32" s="13"/>
      <c r="S32" s="15"/>
      <c r="T32" s="15"/>
      <c r="U32" s="11"/>
      <c r="V32" s="11"/>
      <c r="W32" s="11"/>
    </row>
    <row r="33" spans="2:23">
      <c r="B33" s="13"/>
      <c r="C33" s="14"/>
      <c r="D33" s="13"/>
      <c r="E33" s="12"/>
      <c r="F33" s="15"/>
      <c r="G33" s="15"/>
      <c r="H33" s="15"/>
      <c r="I33" s="12"/>
      <c r="J33" s="11"/>
      <c r="K33" s="12"/>
      <c r="L33" s="12"/>
      <c r="M33" s="12"/>
      <c r="N33" s="12"/>
      <c r="O33" s="12"/>
      <c r="P33" s="12"/>
      <c r="Q33" s="12"/>
      <c r="R33" s="13"/>
      <c r="S33" s="15"/>
      <c r="T33" s="15"/>
      <c r="U33" s="11"/>
      <c r="V33" s="11"/>
      <c r="W33" s="11"/>
    </row>
    <row r="34" spans="2:23">
      <c r="B34" s="13"/>
      <c r="C34" s="14"/>
      <c r="D34" s="13"/>
      <c r="E34" s="12"/>
      <c r="F34" s="15"/>
      <c r="G34" s="15"/>
      <c r="H34" s="15"/>
      <c r="I34" s="12"/>
      <c r="J34" s="11"/>
      <c r="K34" s="12"/>
      <c r="L34" s="12"/>
      <c r="M34" s="12"/>
      <c r="N34" s="12"/>
      <c r="O34" s="12"/>
      <c r="P34" s="12"/>
      <c r="Q34" s="12"/>
      <c r="R34" s="13"/>
      <c r="S34" s="15"/>
      <c r="T34" s="15"/>
      <c r="U34" s="11"/>
      <c r="V34" s="11"/>
      <c r="W34" s="11"/>
    </row>
    <row r="35" spans="2:23">
      <c r="B35" s="13"/>
      <c r="C35" s="14"/>
      <c r="D35" s="13"/>
      <c r="E35" s="12"/>
      <c r="F35" s="15"/>
      <c r="G35" s="15"/>
      <c r="H35" s="15"/>
      <c r="I35" s="12"/>
      <c r="J35" s="11"/>
      <c r="K35" s="12"/>
      <c r="L35" s="12"/>
      <c r="M35" s="12"/>
      <c r="N35" s="12"/>
      <c r="O35" s="12"/>
      <c r="P35" s="12"/>
      <c r="Q35" s="12"/>
      <c r="R35" s="13"/>
      <c r="S35" s="15"/>
      <c r="T35" s="15"/>
      <c r="U35" s="11"/>
      <c r="V35" s="11"/>
      <c r="W35" s="11"/>
    </row>
    <row r="36" spans="2:23">
      <c r="B36" s="13"/>
      <c r="C36" s="14"/>
      <c r="D36" s="13"/>
      <c r="E36" s="12"/>
      <c r="F36" s="15"/>
      <c r="G36" s="15"/>
      <c r="H36" s="15"/>
      <c r="I36" s="12"/>
      <c r="J36" s="11"/>
      <c r="K36" s="12"/>
      <c r="L36" s="12"/>
      <c r="M36" s="12"/>
      <c r="N36" s="12"/>
      <c r="O36" s="12"/>
      <c r="P36" s="12"/>
      <c r="Q36" s="12"/>
      <c r="R36" s="13"/>
      <c r="S36" s="15"/>
      <c r="T36" s="15"/>
      <c r="U36" s="11"/>
      <c r="V36" s="11"/>
      <c r="W36" s="11"/>
    </row>
    <row r="37" spans="2:23">
      <c r="B37" s="13"/>
      <c r="C37" s="14"/>
      <c r="D37" s="13"/>
      <c r="E37" s="12"/>
      <c r="F37" s="15"/>
      <c r="G37" s="15"/>
      <c r="H37" s="15"/>
      <c r="I37" s="12"/>
      <c r="J37" s="11"/>
      <c r="K37" s="12"/>
      <c r="L37" s="12"/>
      <c r="M37" s="12"/>
      <c r="N37" s="12"/>
      <c r="O37" s="12"/>
      <c r="P37" s="12"/>
      <c r="Q37" s="12"/>
      <c r="R37" s="13"/>
      <c r="S37" s="15"/>
      <c r="T37" s="15"/>
      <c r="U37" s="11"/>
      <c r="V37" s="11"/>
      <c r="W37" s="11"/>
    </row>
    <row r="38" spans="2:23">
      <c r="B38" s="13"/>
      <c r="C38" s="14"/>
      <c r="D38" s="13"/>
      <c r="E38" s="12"/>
      <c r="F38" s="15"/>
      <c r="G38" s="15"/>
      <c r="H38" s="15"/>
      <c r="I38" s="12"/>
      <c r="J38" s="11"/>
      <c r="K38" s="12"/>
      <c r="L38" s="12"/>
      <c r="M38" s="12"/>
      <c r="N38" s="12"/>
      <c r="O38" s="12"/>
      <c r="P38" s="12"/>
      <c r="Q38" s="12"/>
      <c r="R38" s="13"/>
      <c r="S38" s="15"/>
      <c r="T38" s="15"/>
      <c r="U38" s="11"/>
      <c r="V38" s="11"/>
      <c r="W38" s="11"/>
    </row>
    <row r="39" spans="2:23">
      <c r="B39" s="13"/>
      <c r="C39" s="14"/>
      <c r="D39" s="13"/>
      <c r="E39" s="12"/>
      <c r="F39" s="15"/>
      <c r="G39" s="15"/>
      <c r="H39" s="15"/>
      <c r="I39" s="12"/>
      <c r="J39" s="11"/>
      <c r="K39" s="12"/>
      <c r="L39" s="12"/>
      <c r="M39" s="12"/>
      <c r="N39" s="12"/>
      <c r="O39" s="12"/>
      <c r="P39" s="12"/>
      <c r="Q39" s="12"/>
      <c r="R39" s="13"/>
      <c r="S39" s="15"/>
      <c r="T39" s="15"/>
      <c r="U39" s="11"/>
      <c r="V39" s="11"/>
      <c r="W39" s="11"/>
    </row>
    <row r="40" spans="2:23">
      <c r="B40" s="13"/>
      <c r="C40" s="14"/>
      <c r="D40" s="13"/>
      <c r="E40" s="12"/>
      <c r="F40" s="15"/>
      <c r="G40" s="15"/>
      <c r="H40" s="15"/>
      <c r="I40" s="12"/>
      <c r="J40" s="11"/>
      <c r="K40" s="12"/>
      <c r="L40" s="12"/>
      <c r="M40" s="12"/>
      <c r="N40" s="12"/>
      <c r="O40" s="12"/>
      <c r="P40" s="12"/>
      <c r="Q40" s="12"/>
      <c r="R40" s="13"/>
      <c r="S40" s="15"/>
      <c r="T40" s="15"/>
      <c r="U40" s="11"/>
      <c r="V40" s="11"/>
      <c r="W40" s="11"/>
    </row>
    <row r="41" spans="2:23">
      <c r="B41" s="13"/>
      <c r="C41" s="14"/>
      <c r="D41" s="13"/>
      <c r="E41" s="12"/>
      <c r="F41" s="15"/>
      <c r="G41" s="15"/>
      <c r="H41" s="15"/>
      <c r="I41" s="12"/>
      <c r="J41" s="11"/>
      <c r="K41" s="12"/>
      <c r="L41" s="12"/>
      <c r="M41" s="12"/>
      <c r="N41" s="12"/>
      <c r="O41" s="12"/>
      <c r="P41" s="12"/>
      <c r="Q41" s="12"/>
      <c r="R41" s="13"/>
      <c r="S41" s="15"/>
      <c r="T41" s="15"/>
      <c r="U41" s="11"/>
      <c r="V41" s="11"/>
      <c r="W41" s="11"/>
    </row>
    <row r="42" spans="2:23">
      <c r="B42" s="13"/>
      <c r="C42" s="14"/>
      <c r="D42" s="13"/>
      <c r="E42" s="12"/>
      <c r="F42" s="15"/>
      <c r="G42" s="15"/>
      <c r="H42" s="15"/>
      <c r="I42" s="12"/>
      <c r="J42" s="11"/>
      <c r="K42" s="12"/>
      <c r="L42" s="12"/>
      <c r="M42" s="12"/>
      <c r="N42" s="12"/>
      <c r="O42" s="12"/>
      <c r="P42" s="12"/>
      <c r="Q42" s="12"/>
      <c r="R42" s="13"/>
      <c r="S42" s="15"/>
      <c r="T42" s="15"/>
      <c r="U42" s="11"/>
      <c r="V42" s="11"/>
      <c r="W42" s="11"/>
    </row>
    <row r="43" spans="2:23">
      <c r="B43" s="13"/>
      <c r="C43" s="14"/>
      <c r="D43" s="13"/>
      <c r="E43" s="12"/>
      <c r="F43" s="15"/>
      <c r="G43" s="15"/>
      <c r="H43" s="15"/>
      <c r="I43" s="12"/>
      <c r="J43" s="11"/>
      <c r="K43" s="12"/>
      <c r="L43" s="12"/>
      <c r="M43" s="12"/>
      <c r="N43" s="12"/>
      <c r="O43" s="12"/>
      <c r="P43" s="12"/>
      <c r="Q43" s="12"/>
      <c r="R43" s="13"/>
      <c r="S43" s="15"/>
      <c r="T43" s="15"/>
      <c r="U43" s="11"/>
      <c r="V43" s="11"/>
      <c r="W43" s="11"/>
    </row>
    <row r="44" spans="2:23">
      <c r="B44" s="13"/>
      <c r="C44" s="14"/>
      <c r="D44" s="13"/>
      <c r="E44" s="12"/>
      <c r="F44" s="15"/>
      <c r="G44" s="15"/>
      <c r="H44" s="15"/>
      <c r="I44" s="12"/>
      <c r="J44" s="11"/>
      <c r="K44" s="12"/>
      <c r="L44" s="12"/>
      <c r="M44" s="12"/>
      <c r="N44" s="12"/>
      <c r="O44" s="12"/>
      <c r="P44" s="12"/>
      <c r="Q44" s="12"/>
      <c r="R44" s="13"/>
      <c r="S44" s="15"/>
      <c r="T44" s="15"/>
      <c r="U44" s="11"/>
      <c r="V44" s="11"/>
      <c r="W44" s="11"/>
    </row>
    <row r="45" spans="2:23">
      <c r="Q45" s="12"/>
    </row>
    <row r="46" spans="2:23">
      <c r="Q46" s="12"/>
    </row>
    <row r="47" spans="2:23">
      <c r="Q47" s="12"/>
    </row>
    <row r="48" spans="2:23">
      <c r="Q48" s="12"/>
    </row>
    <row r="49" spans="17:17">
      <c r="Q49" s="12"/>
    </row>
    <row r="50" spans="17:17">
      <c r="Q50" s="12"/>
    </row>
    <row r="51" spans="17:17">
      <c r="Q51" s="12"/>
    </row>
    <row r="52" spans="17:17">
      <c r="Q52" s="12"/>
    </row>
    <row r="53" spans="17:17">
      <c r="Q53" s="12"/>
    </row>
    <row r="54" spans="17:17">
      <c r="Q54" s="12"/>
    </row>
    <row r="55" spans="17:17">
      <c r="Q55" s="12"/>
    </row>
    <row r="56" spans="17:17">
      <c r="Q56" s="12"/>
    </row>
    <row r="57" spans="17:17">
      <c r="Q57" s="12"/>
    </row>
    <row r="58" spans="17:17">
      <c r="Q58" s="12"/>
    </row>
    <row r="59" spans="17:17">
      <c r="Q59" s="12"/>
    </row>
    <row r="60" spans="17:17">
      <c r="Q60" s="12"/>
    </row>
    <row r="61" spans="17:17">
      <c r="Q61" s="12"/>
    </row>
    <row r="62" spans="17:17">
      <c r="Q62" s="12"/>
    </row>
    <row r="63" spans="17:17">
      <c r="Q63" s="12"/>
    </row>
    <row r="64" spans="17:17">
      <c r="Q64" s="12"/>
    </row>
    <row r="65" spans="17:17">
      <c r="Q65" s="12"/>
    </row>
    <row r="66" spans="17:17">
      <c r="Q66" s="12"/>
    </row>
    <row r="67" spans="17:17">
      <c r="Q67" s="12"/>
    </row>
    <row r="68" spans="17:17">
      <c r="Q68" s="12"/>
    </row>
    <row r="69" spans="17:17">
      <c r="Q69" s="12"/>
    </row>
    <row r="70" spans="17:17">
      <c r="Q70" s="12"/>
    </row>
    <row r="71" spans="17:17">
      <c r="Q71" s="12"/>
    </row>
    <row r="72" spans="17:17">
      <c r="Q72" s="12"/>
    </row>
    <row r="73" spans="17:17">
      <c r="Q73" s="12"/>
    </row>
    <row r="74" spans="17:17">
      <c r="Q74" s="12"/>
    </row>
    <row r="75" spans="17:17">
      <c r="Q75" s="12"/>
    </row>
    <row r="76" spans="17:17">
      <c r="Q76" s="12"/>
    </row>
    <row r="77" spans="17:17">
      <c r="Q77" s="12"/>
    </row>
    <row r="78" spans="17:17">
      <c r="Q78" s="12"/>
    </row>
    <row r="79" spans="17:17">
      <c r="Q79" s="12"/>
    </row>
    <row r="80" spans="17:17">
      <c r="Q80" s="12"/>
    </row>
    <row r="81" spans="17:17">
      <c r="Q81" s="12"/>
    </row>
    <row r="82" spans="17:17">
      <c r="Q82" s="12"/>
    </row>
    <row r="83" spans="17:17">
      <c r="Q83" s="12"/>
    </row>
    <row r="84" spans="17:17">
      <c r="Q84" s="12"/>
    </row>
    <row r="85" spans="17:17">
      <c r="Q85" s="12"/>
    </row>
    <row r="86" spans="17:17">
      <c r="Q86" s="12"/>
    </row>
    <row r="87" spans="17:17">
      <c r="Q87" s="12"/>
    </row>
    <row r="88" spans="17:17">
      <c r="Q88" s="12"/>
    </row>
    <row r="89" spans="17:17">
      <c r="Q89" s="12"/>
    </row>
    <row r="90" spans="17:17">
      <c r="Q90" s="12"/>
    </row>
    <row r="91" spans="17:17">
      <c r="Q91" s="12"/>
    </row>
    <row r="92" spans="17:17">
      <c r="Q92" s="12"/>
    </row>
    <row r="93" spans="17:17">
      <c r="Q93" s="12"/>
    </row>
    <row r="94" spans="17:17">
      <c r="Q94" s="12"/>
    </row>
    <row r="95" spans="17:17">
      <c r="Q95" s="12"/>
    </row>
    <row r="96" spans="17:17">
      <c r="Q96" s="12"/>
    </row>
    <row r="97" spans="17:17">
      <c r="Q97" s="12"/>
    </row>
    <row r="98" spans="17:17">
      <c r="Q98" s="12"/>
    </row>
    <row r="99" spans="17:17">
      <c r="Q99" s="12"/>
    </row>
    <row r="100" spans="17:17">
      <c r="Q100" s="12"/>
    </row>
    <row r="101" spans="17:17">
      <c r="Q101" s="12"/>
    </row>
    <row r="102" spans="17:17">
      <c r="Q102" s="12"/>
    </row>
    <row r="103" spans="17:17">
      <c r="Q103" s="12"/>
    </row>
    <row r="104" spans="17:17">
      <c r="Q104" s="12"/>
    </row>
    <row r="105" spans="17:17">
      <c r="Q105" s="12"/>
    </row>
    <row r="106" spans="17:17">
      <c r="Q106" s="12"/>
    </row>
    <row r="107" spans="17:17">
      <c r="Q107" s="12"/>
    </row>
    <row r="108" spans="17:17">
      <c r="Q108" s="12"/>
    </row>
    <row r="109" spans="17:17">
      <c r="Q109" s="12"/>
    </row>
    <row r="110" spans="17:17">
      <c r="Q110" s="12"/>
    </row>
    <row r="111" spans="17:17">
      <c r="Q111" s="12"/>
    </row>
    <row r="112" spans="17:17">
      <c r="Q112" s="12"/>
    </row>
    <row r="113" spans="17:17">
      <c r="Q113" s="12"/>
    </row>
    <row r="114" spans="17:17">
      <c r="Q114" s="12"/>
    </row>
    <row r="115" spans="17:17">
      <c r="Q115" s="12"/>
    </row>
    <row r="116" spans="17:17">
      <c r="Q116" s="12"/>
    </row>
    <row r="117" spans="17:17">
      <c r="Q117" s="12"/>
    </row>
    <row r="118" spans="17:17">
      <c r="Q118" s="12"/>
    </row>
    <row r="119" spans="17:17">
      <c r="Q119" s="12"/>
    </row>
    <row r="120" spans="17:17">
      <c r="Q120" s="12"/>
    </row>
    <row r="121" spans="17:17">
      <c r="Q121" s="12"/>
    </row>
    <row r="122" spans="17:17">
      <c r="Q122" s="12"/>
    </row>
    <row r="123" spans="17:17">
      <c r="Q123" s="12"/>
    </row>
    <row r="124" spans="17:17">
      <c r="Q124" s="12"/>
    </row>
    <row r="125" spans="17:17">
      <c r="Q125" s="12"/>
    </row>
    <row r="126" spans="17:17">
      <c r="Q126" s="12"/>
    </row>
    <row r="127" spans="17:17">
      <c r="Q127" s="12"/>
    </row>
    <row r="128" spans="17:17">
      <c r="Q128" s="12"/>
    </row>
    <row r="129" spans="17:17">
      <c r="Q129" s="12"/>
    </row>
    <row r="130" spans="17:17">
      <c r="Q130" s="12"/>
    </row>
    <row r="131" spans="17:17">
      <c r="Q131" s="12"/>
    </row>
    <row r="132" spans="17:17">
      <c r="Q132" s="12"/>
    </row>
    <row r="133" spans="17:17">
      <c r="Q133" s="12"/>
    </row>
    <row r="134" spans="17:17">
      <c r="Q134" s="12"/>
    </row>
    <row r="135" spans="17:17">
      <c r="Q135" s="12"/>
    </row>
    <row r="136" spans="17:17">
      <c r="Q136" s="12"/>
    </row>
    <row r="137" spans="17:17">
      <c r="Q137" s="12"/>
    </row>
    <row r="138" spans="17:17">
      <c r="Q138" s="12"/>
    </row>
    <row r="139" spans="17:17">
      <c r="Q139" s="12"/>
    </row>
    <row r="140" spans="17:17">
      <c r="Q140" s="12"/>
    </row>
    <row r="141" spans="17:17">
      <c r="Q141" s="12"/>
    </row>
    <row r="142" spans="17:17">
      <c r="Q142" s="12"/>
    </row>
    <row r="143" spans="17:17">
      <c r="Q143" s="12"/>
    </row>
    <row r="144" spans="17:17">
      <c r="Q144" s="12"/>
    </row>
    <row r="145" spans="17:17">
      <c r="Q145" s="12"/>
    </row>
    <row r="146" spans="17:17">
      <c r="Q146" s="12"/>
    </row>
    <row r="147" spans="17:17">
      <c r="Q147" s="12"/>
    </row>
    <row r="148" spans="17:17">
      <c r="Q148" s="12"/>
    </row>
    <row r="149" spans="17:17">
      <c r="Q149" s="12"/>
    </row>
    <row r="150" spans="17:17">
      <c r="Q150" s="12"/>
    </row>
    <row r="151" spans="17:17">
      <c r="Q151" s="12"/>
    </row>
    <row r="152" spans="17:17">
      <c r="Q152" s="12"/>
    </row>
    <row r="153" spans="17:17">
      <c r="Q153" s="12"/>
    </row>
    <row r="154" spans="17:17">
      <c r="Q154" s="12"/>
    </row>
    <row r="155" spans="17:17">
      <c r="Q155" s="12"/>
    </row>
    <row r="156" spans="17:17">
      <c r="Q156" s="12"/>
    </row>
    <row r="157" spans="17:17">
      <c r="Q157" s="12"/>
    </row>
    <row r="158" spans="17:17">
      <c r="Q158" s="12"/>
    </row>
    <row r="159" spans="17:17">
      <c r="Q159" s="12"/>
    </row>
    <row r="160" spans="17:17">
      <c r="Q160" s="12"/>
    </row>
    <row r="161" spans="17:17">
      <c r="Q161" s="12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MATRICE DE SUIVI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HpEliteBook</cp:lastModifiedBy>
  <dcterms:created xsi:type="dcterms:W3CDTF">2026-08-17T12:25:00Z</dcterms:created>
  <dcterms:modified xsi:type="dcterms:W3CDTF">2026-10-22T00:41:14Z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DA60395652A245D9A1F635BD78FD7A6B_13</vt:lpwstr>
  </property>
  <property fmtid="{D5CDD505-2E9C-101B-9397-08002B2CF9AE}" pid="3" name="KSOProductBuildVer">
    <vt:lpwstr>1036-12.1.0.28485</vt:lpwstr>
  </property>
  <property fmtid="{D5CDD505-2E9C-101B-9397-08002B2CF9AE}" pid="4" name="CalculationRule">
    <vt:i4>0</vt:i4>
  </property>
</Properties>
</file>